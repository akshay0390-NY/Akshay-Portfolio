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buffalo-my.sharepoint.com/personal/singh57_buffalo_edu/Documents/Fixed Income/"/>
    </mc:Choice>
  </mc:AlternateContent>
  <xr:revisionPtr revIDLastSave="739" documentId="8_{FBD7644A-6BC4-40D8-A171-447B4172DA7B}" xr6:coauthVersionLast="47" xr6:coauthVersionMax="47" xr10:uidLastSave="{35B69304-0C22-42F9-9C77-8F3D2AA26F72}"/>
  <bookViews>
    <workbookView xWindow="-98" yWindow="-98" windowWidth="21795" windowHeight="12975" activeTab="4" xr2:uid="{2F5A70C0-7907-42E1-9FF0-3A692A053DF7}"/>
  </bookViews>
  <sheets>
    <sheet name="Amazon" sheetId="9" r:id="rId1"/>
    <sheet name="Microsoft" sheetId="10" r:id="rId2"/>
    <sheet name="Disney" sheetId="8" r:id="rId3"/>
    <sheet name="Ford" sheetId="13" r:id="rId4"/>
    <sheet name="Portfolio Allocation" sheetId="11" r:id="rId5"/>
    <sheet name="Summary" sheetId="1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8" l="1"/>
  <c r="F7" i="11" s="1"/>
  <c r="I2" i="8"/>
  <c r="B5" i="8"/>
  <c r="M7" i="11"/>
  <c r="G2" i="8"/>
  <c r="C6" i="11"/>
  <c r="N6" i="11"/>
  <c r="C7" i="11"/>
  <c r="C8" i="11"/>
  <c r="C9" i="11"/>
  <c r="N9" i="11"/>
  <c r="N7" i="11"/>
  <c r="N8" i="11"/>
  <c r="E9" i="11"/>
  <c r="B2" i="14"/>
  <c r="M9" i="11"/>
  <c r="M8" i="11"/>
  <c r="M6" i="11"/>
  <c r="H9" i="11"/>
  <c r="G9" i="11"/>
  <c r="E2" i="9"/>
  <c r="G6" i="11" s="1"/>
  <c r="E2" i="13"/>
  <c r="H2" i="13"/>
  <c r="K2" i="13"/>
  <c r="B10" i="13" s="1"/>
  <c r="B29" i="13"/>
  <c r="G2" i="13"/>
  <c r="B22" i="13"/>
  <c r="B12" i="13"/>
  <c r="B11" i="13"/>
  <c r="B9" i="13"/>
  <c r="O5" i="10"/>
  <c r="B29" i="10"/>
  <c r="K2" i="10"/>
  <c r="G2" i="10"/>
  <c r="K50" i="10" s="1"/>
  <c r="B11" i="10"/>
  <c r="E27" i="10"/>
  <c r="E28" i="10"/>
  <c r="K33" i="10"/>
  <c r="K34" i="10"/>
  <c r="K35" i="10"/>
  <c r="K52" i="10"/>
  <c r="K48" i="10"/>
  <c r="K49" i="10"/>
  <c r="E50" i="10"/>
  <c r="E52" i="10"/>
  <c r="E25" i="10"/>
  <c r="E26" i="10"/>
  <c r="E24" i="10"/>
  <c r="B9" i="10"/>
  <c r="D10" i="11"/>
  <c r="B10" i="11"/>
  <c r="G8" i="11"/>
  <c r="E8" i="11"/>
  <c r="G7" i="11"/>
  <c r="E7" i="11"/>
  <c r="E6" i="11"/>
  <c r="G2" i="9"/>
  <c r="K2" i="9"/>
  <c r="H2" i="10"/>
  <c r="N10" i="11" l="1"/>
  <c r="K9" i="11"/>
  <c r="M10" i="11"/>
  <c r="B28" i="11"/>
  <c r="I9" i="11"/>
  <c r="M43" i="13"/>
  <c r="M36" i="13"/>
  <c r="F14" i="13"/>
  <c r="M42" i="13"/>
  <c r="M35" i="13"/>
  <c r="F13" i="13"/>
  <c r="F41" i="13"/>
  <c r="F34" i="13"/>
  <c r="F21" i="13"/>
  <c r="M38" i="13"/>
  <c r="M31" i="13"/>
  <c r="F16" i="13"/>
  <c r="F9" i="13"/>
  <c r="F43" i="13"/>
  <c r="F36" i="13"/>
  <c r="M40" i="13"/>
  <c r="M33" i="13"/>
  <c r="F18" i="13"/>
  <c r="F11" i="13"/>
  <c r="F38" i="13"/>
  <c r="F31" i="13"/>
  <c r="F40" i="13"/>
  <c r="F33" i="13"/>
  <c r="M39" i="13"/>
  <c r="M32" i="13"/>
  <c r="F17" i="13"/>
  <c r="F10" i="13"/>
  <c r="F44" i="13"/>
  <c r="F37" i="13"/>
  <c r="M41" i="13"/>
  <c r="M34" i="13"/>
  <c r="F19" i="13"/>
  <c r="F12" i="13"/>
  <c r="F39" i="13"/>
  <c r="F32" i="13"/>
  <c r="F20" i="13"/>
  <c r="B13" i="13"/>
  <c r="B14" i="13" s="1"/>
  <c r="B15" i="13" s="1"/>
  <c r="M44" i="13"/>
  <c r="M37" i="13"/>
  <c r="F15" i="13"/>
  <c r="F42" i="13"/>
  <c r="F35" i="13"/>
  <c r="F22" i="13"/>
  <c r="B16" i="13"/>
  <c r="B30" i="13"/>
  <c r="O5" i="13" s="1"/>
  <c r="E48" i="10"/>
  <c r="E51" i="10"/>
  <c r="E49" i="10"/>
  <c r="K51" i="10"/>
  <c r="B30" i="10"/>
  <c r="K6" i="11"/>
  <c r="J7" i="11"/>
  <c r="K8" i="11"/>
  <c r="K7" i="11"/>
  <c r="L9" i="11"/>
  <c r="E10" i="11"/>
  <c r="G10" i="11"/>
  <c r="I6" i="11"/>
  <c r="I8" i="11"/>
  <c r="I7" i="11"/>
  <c r="C10" i="11"/>
  <c r="B30" i="9"/>
  <c r="F23" i="13" l="1"/>
  <c r="M45" i="13"/>
  <c r="F45" i="13"/>
  <c r="N5" i="13"/>
  <c r="B23" i="13"/>
  <c r="B25" i="13" s="1"/>
  <c r="B17" i="13"/>
  <c r="B24" i="13"/>
  <c r="B26" i="13" s="1"/>
  <c r="K10" i="11"/>
  <c r="B17" i="11" s="1"/>
  <c r="B5" i="14" s="1"/>
  <c r="I10" i="11"/>
  <c r="B15" i="11" s="1"/>
  <c r="B3" i="14" s="1"/>
  <c r="C5" i="10"/>
  <c r="B5" i="10"/>
  <c r="A5" i="10"/>
  <c r="K47" i="10"/>
  <c r="E47" i="10"/>
  <c r="K46" i="10"/>
  <c r="E46" i="10"/>
  <c r="K45" i="10"/>
  <c r="E45" i="10"/>
  <c r="K44" i="10"/>
  <c r="E44" i="10"/>
  <c r="K43" i="10"/>
  <c r="E43" i="10"/>
  <c r="K42" i="10"/>
  <c r="E42" i="10"/>
  <c r="K41" i="10"/>
  <c r="E41" i="10"/>
  <c r="K40" i="10"/>
  <c r="E40" i="10"/>
  <c r="K39" i="10"/>
  <c r="E39" i="10"/>
  <c r="K38" i="10"/>
  <c r="E38" i="10"/>
  <c r="K37" i="10"/>
  <c r="E37" i="10"/>
  <c r="K36" i="10"/>
  <c r="E36" i="10"/>
  <c r="E35" i="10"/>
  <c r="E34" i="10"/>
  <c r="E33" i="10"/>
  <c r="E23" i="10"/>
  <c r="E22" i="10"/>
  <c r="B22" i="10"/>
  <c r="E21" i="10"/>
  <c r="E20" i="10"/>
  <c r="E19" i="10"/>
  <c r="E18" i="10"/>
  <c r="E17" i="10"/>
  <c r="E16" i="10"/>
  <c r="B16" i="10"/>
  <c r="E15" i="10"/>
  <c r="E14" i="10"/>
  <c r="E13" i="10"/>
  <c r="B13" i="10"/>
  <c r="E12" i="10"/>
  <c r="B12" i="10"/>
  <c r="E11" i="10"/>
  <c r="E10" i="10"/>
  <c r="B10" i="10"/>
  <c r="E9" i="10"/>
  <c r="F44" i="9"/>
  <c r="F43" i="9"/>
  <c r="B10" i="9"/>
  <c r="H2" i="9"/>
  <c r="F22" i="9"/>
  <c r="M44" i="9"/>
  <c r="M43" i="9"/>
  <c r="M42" i="9"/>
  <c r="F42" i="9"/>
  <c r="M41" i="9"/>
  <c r="F41" i="9"/>
  <c r="M40" i="9"/>
  <c r="F40" i="9"/>
  <c r="M39" i="9"/>
  <c r="F39" i="9"/>
  <c r="M38" i="9"/>
  <c r="F38" i="9"/>
  <c r="M37" i="9"/>
  <c r="F37" i="9"/>
  <c r="M36" i="9"/>
  <c r="F36" i="9"/>
  <c r="M35" i="9"/>
  <c r="F35" i="9"/>
  <c r="M34" i="9"/>
  <c r="F34" i="9"/>
  <c r="M33" i="9"/>
  <c r="F33" i="9"/>
  <c r="M32" i="9"/>
  <c r="F32" i="9"/>
  <c r="M31" i="9"/>
  <c r="F31" i="9"/>
  <c r="B29" i="9"/>
  <c r="O5" i="9" s="1"/>
  <c r="B22" i="9"/>
  <c r="F21" i="9"/>
  <c r="F20" i="9"/>
  <c r="F19" i="9"/>
  <c r="F18" i="9"/>
  <c r="F17" i="9"/>
  <c r="F16" i="9"/>
  <c r="F15" i="9"/>
  <c r="F14" i="9"/>
  <c r="F13" i="9"/>
  <c r="B13" i="9"/>
  <c r="F12" i="9"/>
  <c r="B12" i="9"/>
  <c r="F11" i="9"/>
  <c r="B11" i="9"/>
  <c r="F10" i="9"/>
  <c r="F9" i="9"/>
  <c r="B9" i="9"/>
  <c r="B25" i="8"/>
  <c r="B15" i="8"/>
  <c r="B14" i="8"/>
  <c r="B13" i="8"/>
  <c r="F5" i="8"/>
  <c r="B12" i="8" s="1"/>
  <c r="D5" i="8"/>
  <c r="H2" i="8"/>
  <c r="G54" i="8" l="1"/>
  <c r="M54" i="8"/>
  <c r="B16" i="9"/>
  <c r="N5" i="9" s="1"/>
  <c r="F6" i="11" s="1"/>
  <c r="J6" i="11" s="1"/>
  <c r="I2" i="9"/>
  <c r="I2" i="13"/>
  <c r="F9" i="11"/>
  <c r="J9" i="11" s="1"/>
  <c r="N42" i="13"/>
  <c r="O42" i="13" s="1"/>
  <c r="N38" i="13"/>
  <c r="O38" i="13" s="1"/>
  <c r="N31" i="13"/>
  <c r="N40" i="13"/>
  <c r="O40" i="13" s="1"/>
  <c r="N33" i="13"/>
  <c r="O33" i="13" s="1"/>
  <c r="N35" i="13"/>
  <c r="O35" i="13" s="1"/>
  <c r="N44" i="13"/>
  <c r="O44" i="13" s="1"/>
  <c r="N37" i="13"/>
  <c r="O37" i="13" s="1"/>
  <c r="N41" i="13"/>
  <c r="O41" i="13" s="1"/>
  <c r="N34" i="13"/>
  <c r="O34" i="13" s="1"/>
  <c r="N43" i="13"/>
  <c r="O43" i="13" s="1"/>
  <c r="N36" i="13"/>
  <c r="O36" i="13" s="1"/>
  <c r="N39" i="13"/>
  <c r="O39" i="13" s="1"/>
  <c r="N32" i="13"/>
  <c r="O32" i="13" s="1"/>
  <c r="G21" i="13"/>
  <c r="H21" i="13" s="1"/>
  <c r="G13" i="13"/>
  <c r="H13" i="13" s="1"/>
  <c r="G16" i="13"/>
  <c r="H16" i="13" s="1"/>
  <c r="G9" i="13"/>
  <c r="G18" i="13"/>
  <c r="H18" i="13" s="1"/>
  <c r="G11" i="13"/>
  <c r="H11" i="13" s="1"/>
  <c r="G20" i="13"/>
  <c r="H20" i="13" s="1"/>
  <c r="G19" i="13"/>
  <c r="H19" i="13" s="1"/>
  <c r="G12" i="13"/>
  <c r="H12" i="13" s="1"/>
  <c r="G14" i="13"/>
  <c r="H14" i="13" s="1"/>
  <c r="G15" i="13"/>
  <c r="H15" i="13" s="1"/>
  <c r="G22" i="13"/>
  <c r="H22" i="13" s="1"/>
  <c r="G10" i="13"/>
  <c r="H10" i="13" s="1"/>
  <c r="G17" i="13"/>
  <c r="H17" i="13" s="1"/>
  <c r="G41" i="13"/>
  <c r="H41" i="13" s="1"/>
  <c r="G34" i="13"/>
  <c r="H34" i="13" s="1"/>
  <c r="G40" i="13"/>
  <c r="H40" i="13" s="1"/>
  <c r="G33" i="13"/>
  <c r="H33" i="13" s="1"/>
  <c r="G43" i="13"/>
  <c r="H43" i="13" s="1"/>
  <c r="G36" i="13"/>
  <c r="H36" i="13" s="1"/>
  <c r="G38" i="13"/>
  <c r="H38" i="13" s="1"/>
  <c r="G31" i="13"/>
  <c r="G44" i="13"/>
  <c r="H44" i="13" s="1"/>
  <c r="G37" i="13"/>
  <c r="H37" i="13" s="1"/>
  <c r="G39" i="13"/>
  <c r="H39" i="13" s="1"/>
  <c r="G32" i="13"/>
  <c r="H32" i="13" s="1"/>
  <c r="G42" i="13"/>
  <c r="H42" i="13" s="1"/>
  <c r="G35" i="13"/>
  <c r="H35" i="13" s="1"/>
  <c r="M52" i="8"/>
  <c r="M51" i="8"/>
  <c r="M55" i="8"/>
  <c r="M40" i="8"/>
  <c r="G30" i="8"/>
  <c r="G51" i="8"/>
  <c r="G28" i="8"/>
  <c r="G27" i="8"/>
  <c r="G26" i="8"/>
  <c r="G25" i="8"/>
  <c r="G24" i="8"/>
  <c r="G55" i="8"/>
  <c r="M50" i="8"/>
  <c r="M49" i="8"/>
  <c r="M39" i="8"/>
  <c r="B19" i="8"/>
  <c r="B26" i="8" s="1"/>
  <c r="B28" i="8" s="1"/>
  <c r="H54" i="8" s="1"/>
  <c r="M38" i="8"/>
  <c r="E5" i="8"/>
  <c r="G5" i="8" s="1"/>
  <c r="B18" i="8" s="1"/>
  <c r="G52" i="8"/>
  <c r="M37" i="8"/>
  <c r="G14" i="8"/>
  <c r="M53" i="8"/>
  <c r="G50" i="8"/>
  <c r="G49" i="8"/>
  <c r="G48" i="8"/>
  <c r="G31" i="8"/>
  <c r="G38" i="8"/>
  <c r="K53" i="10"/>
  <c r="E29" i="10"/>
  <c r="E53" i="10"/>
  <c r="B21" i="11"/>
  <c r="B23" i="11"/>
  <c r="B17" i="10"/>
  <c r="F13" i="10" s="1"/>
  <c r="G13" i="10" s="1"/>
  <c r="N5" i="10"/>
  <c r="B14" i="10"/>
  <c r="B15" i="10" s="1"/>
  <c r="F23" i="9"/>
  <c r="B14" i="9"/>
  <c r="B15" i="9" s="1"/>
  <c r="F45" i="9"/>
  <c r="M45" i="9"/>
  <c r="G47" i="8"/>
  <c r="M48" i="8"/>
  <c r="G22" i="8"/>
  <c r="G46" i="8"/>
  <c r="M47" i="8"/>
  <c r="G21" i="8"/>
  <c r="B16" i="8"/>
  <c r="B17" i="8" s="1"/>
  <c r="G45" i="8"/>
  <c r="M46" i="8"/>
  <c r="G20" i="8"/>
  <c r="G44" i="8"/>
  <c r="M45" i="8"/>
  <c r="G19" i="8"/>
  <c r="G43" i="8"/>
  <c r="M44" i="8"/>
  <c r="G18" i="8"/>
  <c r="G42" i="8"/>
  <c r="M43" i="8"/>
  <c r="G23" i="8"/>
  <c r="G17" i="8"/>
  <c r="G41" i="8"/>
  <c r="M42" i="8"/>
  <c r="G13" i="8"/>
  <c r="G16" i="8"/>
  <c r="G37" i="8"/>
  <c r="G40" i="8"/>
  <c r="M41" i="8"/>
  <c r="G29" i="8"/>
  <c r="G15" i="8"/>
  <c r="G53" i="8"/>
  <c r="G39" i="8"/>
  <c r="I54" i="8" l="1"/>
  <c r="M56" i="8"/>
  <c r="B17" i="9"/>
  <c r="G16" i="9" s="1"/>
  <c r="H16" i="9" s="1"/>
  <c r="B24" i="9"/>
  <c r="B26" i="9" s="1"/>
  <c r="N37" i="9" s="1"/>
  <c r="O37" i="9" s="1"/>
  <c r="B23" i="9"/>
  <c r="B25" i="9" s="1"/>
  <c r="G35" i="9" s="1"/>
  <c r="H35" i="9" s="1"/>
  <c r="J17" i="13"/>
  <c r="I17" i="13"/>
  <c r="J10" i="13"/>
  <c r="I10" i="13"/>
  <c r="I22" i="13"/>
  <c r="J22" i="13"/>
  <c r="G45" i="13"/>
  <c r="H31" i="13"/>
  <c r="H45" i="13" s="1"/>
  <c r="B27" i="13" s="1"/>
  <c r="J19" i="13"/>
  <c r="I19" i="13"/>
  <c r="J15" i="13"/>
  <c r="I15" i="13"/>
  <c r="J14" i="13"/>
  <c r="I14" i="13"/>
  <c r="J11" i="13"/>
  <c r="I11" i="13"/>
  <c r="J12" i="13"/>
  <c r="I12" i="13"/>
  <c r="J20" i="13"/>
  <c r="I20" i="13"/>
  <c r="J18" i="13"/>
  <c r="I18" i="13"/>
  <c r="G23" i="13"/>
  <c r="H9" i="13"/>
  <c r="J16" i="13"/>
  <c r="I16" i="13"/>
  <c r="N45" i="13"/>
  <c r="O31" i="13"/>
  <c r="O45" i="13" s="1"/>
  <c r="B28" i="13" s="1"/>
  <c r="J13" i="13"/>
  <c r="I13" i="13"/>
  <c r="J21" i="13"/>
  <c r="I21" i="13"/>
  <c r="B27" i="8"/>
  <c r="B29" i="8" s="1"/>
  <c r="N47" i="8" s="1"/>
  <c r="O47" i="8" s="1"/>
  <c r="B20" i="8"/>
  <c r="H31" i="8" s="1"/>
  <c r="I31" i="8" s="1"/>
  <c r="F11" i="10"/>
  <c r="G11" i="10" s="1"/>
  <c r="F10" i="10"/>
  <c r="G10" i="10" s="1"/>
  <c r="F15" i="10"/>
  <c r="G15" i="10" s="1"/>
  <c r="F9" i="10"/>
  <c r="G9" i="10" s="1"/>
  <c r="I9" i="10" s="1"/>
  <c r="F18" i="10"/>
  <c r="G18" i="10" s="1"/>
  <c r="F19" i="10"/>
  <c r="G19" i="10" s="1"/>
  <c r="F16" i="10"/>
  <c r="G16" i="10" s="1"/>
  <c r="I16" i="10" s="1"/>
  <c r="F17" i="10"/>
  <c r="G17" i="10" s="1"/>
  <c r="I17" i="10" s="1"/>
  <c r="F20" i="10"/>
  <c r="G20" i="10" s="1"/>
  <c r="I20" i="10" s="1"/>
  <c r="F12" i="10"/>
  <c r="G12" i="10" s="1"/>
  <c r="H12" i="10" s="1"/>
  <c r="F21" i="10"/>
  <c r="G21" i="10" s="1"/>
  <c r="I21" i="10" s="1"/>
  <c r="F22" i="10"/>
  <c r="G22" i="10" s="1"/>
  <c r="H22" i="10" s="1"/>
  <c r="F23" i="10"/>
  <c r="G23" i="10" s="1"/>
  <c r="H23" i="10" s="1"/>
  <c r="F24" i="10"/>
  <c r="G24" i="10" s="1"/>
  <c r="H24" i="10" s="1"/>
  <c r="B23" i="10"/>
  <c r="B25" i="10" s="1"/>
  <c r="B24" i="10"/>
  <c r="B26" i="10" s="1"/>
  <c r="F27" i="10"/>
  <c r="G27" i="10" s="1"/>
  <c r="F28" i="10"/>
  <c r="G28" i="10" s="1"/>
  <c r="F8" i="11"/>
  <c r="F10" i="11" s="1"/>
  <c r="F14" i="10"/>
  <c r="F25" i="10"/>
  <c r="G25" i="10" s="1"/>
  <c r="F26" i="10"/>
  <c r="G26" i="10" s="1"/>
  <c r="I2" i="10"/>
  <c r="I13" i="10"/>
  <c r="H13" i="10"/>
  <c r="I11" i="10"/>
  <c r="H11" i="10"/>
  <c r="I10" i="10"/>
  <c r="H10" i="10"/>
  <c r="I15" i="10"/>
  <c r="H15" i="10"/>
  <c r="I19" i="10"/>
  <c r="H19" i="10"/>
  <c r="I18" i="10"/>
  <c r="H18" i="10"/>
  <c r="G44" i="9"/>
  <c r="H44" i="9" s="1"/>
  <c r="G43" i="9"/>
  <c r="H43" i="9" s="1"/>
  <c r="G22" i="9"/>
  <c r="H22" i="9" s="1"/>
  <c r="N42" i="9"/>
  <c r="O42" i="9" s="1"/>
  <c r="N39" i="9"/>
  <c r="O39" i="9" s="1"/>
  <c r="N40" i="9"/>
  <c r="O40" i="9" s="1"/>
  <c r="N41" i="9"/>
  <c r="O41" i="9" s="1"/>
  <c r="N33" i="9"/>
  <c r="O33" i="9" s="1"/>
  <c r="N36" i="9"/>
  <c r="O36" i="9" s="1"/>
  <c r="N43" i="9"/>
  <c r="O43" i="9" s="1"/>
  <c r="N31" i="9"/>
  <c r="O31" i="9" s="1"/>
  <c r="N38" i="9"/>
  <c r="O38" i="9" s="1"/>
  <c r="N34" i="9"/>
  <c r="O34" i="9" s="1"/>
  <c r="G20" i="9"/>
  <c r="H20" i="9" s="1"/>
  <c r="G12" i="9"/>
  <c r="H12" i="9" s="1"/>
  <c r="G56" i="8"/>
  <c r="H38" i="8"/>
  <c r="I38" i="8" s="1"/>
  <c r="H52" i="8"/>
  <c r="I52" i="8" s="1"/>
  <c r="H39" i="8"/>
  <c r="I39" i="8" s="1"/>
  <c r="H53" i="8"/>
  <c r="I53" i="8" s="1"/>
  <c r="H40" i="8"/>
  <c r="I40" i="8" s="1"/>
  <c r="H55" i="8"/>
  <c r="I55" i="8" s="1"/>
  <c r="H37" i="8"/>
  <c r="I37" i="8" s="1"/>
  <c r="H47" i="8"/>
  <c r="I47" i="8" s="1"/>
  <c r="H41" i="8"/>
  <c r="I41" i="8" s="1"/>
  <c r="H42" i="8"/>
  <c r="I42" i="8" s="1"/>
  <c r="H43" i="8"/>
  <c r="I43" i="8" s="1"/>
  <c r="H44" i="8"/>
  <c r="I44" i="8" s="1"/>
  <c r="H45" i="8"/>
  <c r="I45" i="8" s="1"/>
  <c r="H46" i="8"/>
  <c r="I46" i="8" s="1"/>
  <c r="H49" i="8"/>
  <c r="I49" i="8" s="1"/>
  <c r="H48" i="8"/>
  <c r="I48" i="8" s="1"/>
  <c r="H50" i="8"/>
  <c r="I50" i="8" s="1"/>
  <c r="H51" i="8"/>
  <c r="I51" i="8" s="1"/>
  <c r="G32" i="8"/>
  <c r="N53" i="8" l="1"/>
  <c r="O53" i="8" s="1"/>
  <c r="N38" i="8"/>
  <c r="O38" i="8" s="1"/>
  <c r="N51" i="8"/>
  <c r="O51" i="8" s="1"/>
  <c r="N52" i="8"/>
  <c r="O52" i="8" s="1"/>
  <c r="H28" i="8"/>
  <c r="I28" i="8" s="1"/>
  <c r="K28" i="8" s="1"/>
  <c r="H26" i="8"/>
  <c r="I26" i="8" s="1"/>
  <c r="J26" i="8" s="1"/>
  <c r="N37" i="8"/>
  <c r="O37" i="8" s="1"/>
  <c r="N40" i="8"/>
  <c r="O40" i="8" s="1"/>
  <c r="N41" i="8"/>
  <c r="O41" i="8" s="1"/>
  <c r="H15" i="8"/>
  <c r="I15" i="8" s="1"/>
  <c r="J15" i="8" s="1"/>
  <c r="N42" i="8"/>
  <c r="O42" i="8" s="1"/>
  <c r="N46" i="8"/>
  <c r="O46" i="8" s="1"/>
  <c r="N48" i="8"/>
  <c r="O48" i="8" s="1"/>
  <c r="H24" i="8"/>
  <c r="I24" i="8" s="1"/>
  <c r="K24" i="8" s="1"/>
  <c r="N50" i="8"/>
  <c r="O50" i="8" s="1"/>
  <c r="H14" i="8"/>
  <c r="I14" i="8" s="1"/>
  <c r="J14" i="8" s="1"/>
  <c r="H23" i="8"/>
  <c r="I23" i="8" s="1"/>
  <c r="K23" i="8" s="1"/>
  <c r="H21" i="8"/>
  <c r="I21" i="8" s="1"/>
  <c r="K21" i="8" s="1"/>
  <c r="N49" i="8"/>
  <c r="O49" i="8" s="1"/>
  <c r="N45" i="8"/>
  <c r="O45" i="8" s="1"/>
  <c r="N44" i="8"/>
  <c r="O44" i="8" s="1"/>
  <c r="N55" i="8"/>
  <c r="O55" i="8" s="1"/>
  <c r="N54" i="8"/>
  <c r="O54" i="8" s="1"/>
  <c r="N39" i="8"/>
  <c r="O39" i="8" s="1"/>
  <c r="N43" i="8"/>
  <c r="O43" i="8" s="1"/>
  <c r="J8" i="11"/>
  <c r="J10" i="11" s="1"/>
  <c r="B16" i="11" s="1"/>
  <c r="B4" i="14" s="1"/>
  <c r="N32" i="9"/>
  <c r="O32" i="9" s="1"/>
  <c r="N35" i="9"/>
  <c r="O35" i="9" s="1"/>
  <c r="G36" i="9"/>
  <c r="H36" i="9" s="1"/>
  <c r="N44" i="9"/>
  <c r="O44" i="9" s="1"/>
  <c r="G33" i="9"/>
  <c r="H33" i="9" s="1"/>
  <c r="G17" i="9"/>
  <c r="H17" i="9" s="1"/>
  <c r="J17" i="9" s="1"/>
  <c r="G15" i="9"/>
  <c r="H15" i="9" s="1"/>
  <c r="I15" i="9" s="1"/>
  <c r="G10" i="9"/>
  <c r="H10" i="9" s="1"/>
  <c r="G13" i="9"/>
  <c r="H13" i="9" s="1"/>
  <c r="J13" i="9" s="1"/>
  <c r="G19" i="9"/>
  <c r="H19" i="9" s="1"/>
  <c r="I19" i="9" s="1"/>
  <c r="G21" i="9"/>
  <c r="H21" i="9" s="1"/>
  <c r="J21" i="9" s="1"/>
  <c r="G11" i="9"/>
  <c r="H11" i="9" s="1"/>
  <c r="I11" i="9" s="1"/>
  <c r="G34" i="9"/>
  <c r="H34" i="9" s="1"/>
  <c r="G42" i="9"/>
  <c r="H42" i="9" s="1"/>
  <c r="G18" i="9"/>
  <c r="H18" i="9" s="1"/>
  <c r="J18" i="9" s="1"/>
  <c r="G9" i="9"/>
  <c r="H9" i="9" s="1"/>
  <c r="G31" i="9"/>
  <c r="H31" i="9" s="1"/>
  <c r="G41" i="9"/>
  <c r="H41" i="9" s="1"/>
  <c r="G38" i="9"/>
  <c r="H38" i="9" s="1"/>
  <c r="G14" i="9"/>
  <c r="H14" i="9" s="1"/>
  <c r="J14" i="9" s="1"/>
  <c r="G40" i="9"/>
  <c r="H40" i="9" s="1"/>
  <c r="G32" i="9"/>
  <c r="H32" i="9" s="1"/>
  <c r="G37" i="9"/>
  <c r="H37" i="9" s="1"/>
  <c r="G39" i="9"/>
  <c r="H39" i="9" s="1"/>
  <c r="H23" i="13"/>
  <c r="J9" i="13"/>
  <c r="J23" i="13" s="1"/>
  <c r="B20" i="13" s="1"/>
  <c r="I9" i="13"/>
  <c r="I23" i="13" s="1"/>
  <c r="H22" i="8"/>
  <c r="I22" i="8" s="1"/>
  <c r="K22" i="8" s="1"/>
  <c r="H16" i="8"/>
  <c r="I16" i="8" s="1"/>
  <c r="K16" i="8" s="1"/>
  <c r="H30" i="8"/>
  <c r="I30" i="8" s="1"/>
  <c r="H29" i="8"/>
  <c r="I29" i="8" s="1"/>
  <c r="J29" i="8" s="1"/>
  <c r="H13" i="8"/>
  <c r="I13" i="8" s="1"/>
  <c r="K13" i="8" s="1"/>
  <c r="H25" i="8"/>
  <c r="I25" i="8" s="1"/>
  <c r="K25" i="8" s="1"/>
  <c r="H18" i="8"/>
  <c r="I18" i="8" s="1"/>
  <c r="K18" i="8" s="1"/>
  <c r="H20" i="8"/>
  <c r="I20" i="8" s="1"/>
  <c r="J20" i="8" s="1"/>
  <c r="H19" i="8"/>
  <c r="I19" i="8" s="1"/>
  <c r="K19" i="8" s="1"/>
  <c r="H17" i="8"/>
  <c r="I17" i="8" s="1"/>
  <c r="K17" i="8" s="1"/>
  <c r="H27" i="8"/>
  <c r="I27" i="8" s="1"/>
  <c r="J27" i="8" s="1"/>
  <c r="I12" i="10"/>
  <c r="H16" i="10"/>
  <c r="H20" i="10"/>
  <c r="H9" i="10"/>
  <c r="H21" i="10"/>
  <c r="H17" i="10"/>
  <c r="I24" i="10"/>
  <c r="I22" i="10"/>
  <c r="I23" i="10"/>
  <c r="F29" i="10"/>
  <c r="H28" i="10"/>
  <c r="I28" i="10"/>
  <c r="H27" i="10"/>
  <c r="I27" i="10"/>
  <c r="L33" i="10"/>
  <c r="M33" i="10" s="1"/>
  <c r="L34" i="10"/>
  <c r="M34" i="10" s="1"/>
  <c r="L35" i="10"/>
  <c r="M35" i="10" s="1"/>
  <c r="L49" i="10"/>
  <c r="M49" i="10" s="1"/>
  <c r="L50" i="10"/>
  <c r="M50" i="10" s="1"/>
  <c r="L51" i="10"/>
  <c r="M51" i="10" s="1"/>
  <c r="L52" i="10"/>
  <c r="M52" i="10" s="1"/>
  <c r="F49" i="10"/>
  <c r="G49" i="10" s="1"/>
  <c r="F50" i="10"/>
  <c r="G50" i="10" s="1"/>
  <c r="F51" i="10"/>
  <c r="G51" i="10" s="1"/>
  <c r="F52" i="10"/>
  <c r="G52" i="10" s="1"/>
  <c r="H26" i="10"/>
  <c r="I26" i="10"/>
  <c r="H25" i="10"/>
  <c r="I25" i="10"/>
  <c r="G14" i="10"/>
  <c r="G29" i="10" s="1"/>
  <c r="L36" i="10"/>
  <c r="M36" i="10" s="1"/>
  <c r="L48" i="10"/>
  <c r="M48" i="10" s="1"/>
  <c r="L47" i="10"/>
  <c r="M47" i="10" s="1"/>
  <c r="L46" i="10"/>
  <c r="M46" i="10" s="1"/>
  <c r="L45" i="10"/>
  <c r="M45" i="10" s="1"/>
  <c r="L44" i="10"/>
  <c r="M44" i="10" s="1"/>
  <c r="L43" i="10"/>
  <c r="M43" i="10" s="1"/>
  <c r="L42" i="10"/>
  <c r="M42" i="10" s="1"/>
  <c r="L41" i="10"/>
  <c r="M41" i="10" s="1"/>
  <c r="L40" i="10"/>
  <c r="M40" i="10" s="1"/>
  <c r="L39" i="10"/>
  <c r="M39" i="10" s="1"/>
  <c r="L38" i="10"/>
  <c r="M38" i="10" s="1"/>
  <c r="L37" i="10"/>
  <c r="M37" i="10" s="1"/>
  <c r="F48" i="10"/>
  <c r="G48" i="10" s="1"/>
  <c r="F34" i="10"/>
  <c r="G34" i="10" s="1"/>
  <c r="F47" i="10"/>
  <c r="G47" i="10" s="1"/>
  <c r="F33" i="10"/>
  <c r="F46" i="10"/>
  <c r="G46" i="10" s="1"/>
  <c r="F45" i="10"/>
  <c r="G45" i="10" s="1"/>
  <c r="F44" i="10"/>
  <c r="G44" i="10" s="1"/>
  <c r="F43" i="10"/>
  <c r="G43" i="10" s="1"/>
  <c r="F42" i="10"/>
  <c r="G42" i="10" s="1"/>
  <c r="F41" i="10"/>
  <c r="G41" i="10" s="1"/>
  <c r="F40" i="10"/>
  <c r="G40" i="10" s="1"/>
  <c r="F39" i="10"/>
  <c r="G39" i="10" s="1"/>
  <c r="F38" i="10"/>
  <c r="G38" i="10" s="1"/>
  <c r="F37" i="10"/>
  <c r="G37" i="10" s="1"/>
  <c r="F36" i="10"/>
  <c r="G36" i="10" s="1"/>
  <c r="F35" i="10"/>
  <c r="G35" i="10" s="1"/>
  <c r="I22" i="9"/>
  <c r="J22" i="9"/>
  <c r="O45" i="9"/>
  <c r="B28" i="9" s="1"/>
  <c r="N45" i="9"/>
  <c r="J12" i="9"/>
  <c r="I12" i="9"/>
  <c r="J10" i="9"/>
  <c r="I10" i="9"/>
  <c r="I21" i="9"/>
  <c r="J20" i="9"/>
  <c r="I20" i="9"/>
  <c r="J16" i="9"/>
  <c r="I16" i="9"/>
  <c r="J15" i="9"/>
  <c r="I56" i="8"/>
  <c r="B30" i="8" s="1"/>
  <c r="J31" i="8"/>
  <c r="K31" i="8"/>
  <c r="H56" i="8"/>
  <c r="J16" i="8" l="1"/>
  <c r="K15" i="8"/>
  <c r="J28" i="8"/>
  <c r="K26" i="8"/>
  <c r="K29" i="8"/>
  <c r="K14" i="8"/>
  <c r="J22" i="8"/>
  <c r="N56" i="8"/>
  <c r="J18" i="8"/>
  <c r="J24" i="8"/>
  <c r="B27" i="11"/>
  <c r="J21" i="8"/>
  <c r="O56" i="8"/>
  <c r="B31" i="8" s="1"/>
  <c r="J23" i="8"/>
  <c r="B26" i="11"/>
  <c r="I17" i="9"/>
  <c r="J19" i="9"/>
  <c r="I13" i="9"/>
  <c r="J11" i="9"/>
  <c r="I18" i="9"/>
  <c r="H45" i="9"/>
  <c r="B27" i="9" s="1"/>
  <c r="G45" i="9"/>
  <c r="G23" i="9"/>
  <c r="I14" i="9"/>
  <c r="B18" i="13"/>
  <c r="B19" i="13" s="1"/>
  <c r="K27" i="8"/>
  <c r="K20" i="8"/>
  <c r="H32" i="8"/>
  <c r="J19" i="8"/>
  <c r="J17" i="8"/>
  <c r="K30" i="8"/>
  <c r="J30" i="8"/>
  <c r="J25" i="8"/>
  <c r="J13" i="8"/>
  <c r="I32" i="8"/>
  <c r="M53" i="10"/>
  <c r="B28" i="10" s="1"/>
  <c r="L53" i="10"/>
  <c r="F53" i="10"/>
  <c r="I14" i="10"/>
  <c r="I29" i="10" s="1"/>
  <c r="H14" i="10"/>
  <c r="H29" i="10" s="1"/>
  <c r="G33" i="10"/>
  <c r="J9" i="9"/>
  <c r="J23" i="9" s="1"/>
  <c r="B20" i="9" s="1"/>
  <c r="H6" i="11" s="1"/>
  <c r="L6" i="11" s="1"/>
  <c r="H23" i="9"/>
  <c r="I9" i="9"/>
  <c r="K32" i="8" l="1"/>
  <c r="B23" i="8" s="1"/>
  <c r="H7" i="11" s="1"/>
  <c r="L7" i="11" s="1"/>
  <c r="J32" i="8"/>
  <c r="B21" i="8" s="1"/>
  <c r="B22" i="8" s="1"/>
  <c r="I23" i="9"/>
  <c r="B18" i="9" s="1"/>
  <c r="B19" i="9" s="1"/>
  <c r="B18" i="10"/>
  <c r="B19" i="10" s="1"/>
  <c r="G53" i="10"/>
  <c r="B27" i="10" s="1"/>
  <c r="B20" i="10"/>
  <c r="H8" i="11" l="1"/>
  <c r="L8" i="11" l="1"/>
  <c r="L10" i="11" s="1"/>
  <c r="B18" i="11" s="1"/>
  <c r="B6" i="14" s="1"/>
  <c r="H10" i="11"/>
  <c r="B24" i="11" l="1"/>
  <c r="B20" i="11" s="1"/>
  <c r="B22" i="11"/>
  <c r="B19" i="11" s="1"/>
  <c r="B29" i="11" s="1"/>
  <c r="B7" i="14" l="1"/>
  <c r="B30" i="11"/>
  <c r="B8" i="14"/>
</calcChain>
</file>

<file path=xl/sharedStrings.xml><?xml version="1.0" encoding="utf-8"?>
<sst xmlns="http://schemas.openxmlformats.org/spreadsheetml/2006/main" count="421" uniqueCount="185">
  <si>
    <t>Bond Ticker</t>
  </si>
  <si>
    <t>CUSIP</t>
  </si>
  <si>
    <t>Company Name</t>
  </si>
  <si>
    <t>Settlement Date</t>
  </si>
  <si>
    <t>Years to Maturity</t>
  </si>
  <si>
    <t xml:space="preserve">FV </t>
  </si>
  <si>
    <t>Coupon Pmt</t>
  </si>
  <si>
    <t>N</t>
  </si>
  <si>
    <t>I/Y</t>
  </si>
  <si>
    <t>PV</t>
  </si>
  <si>
    <t>t</t>
  </si>
  <si>
    <t>First Coupon Date</t>
  </si>
  <si>
    <t>Recent Coupon Payment</t>
  </si>
  <si>
    <t>Coupon Months</t>
  </si>
  <si>
    <t>F 3 1/4 02/12/2032</t>
  </si>
  <si>
    <t>345370DA5</t>
  </si>
  <si>
    <t>Ford Motor Company</t>
  </si>
  <si>
    <t>June</t>
  </si>
  <si>
    <t>Rating</t>
  </si>
  <si>
    <t>Amount Issued $M</t>
  </si>
  <si>
    <t>Amount Outstanding $M</t>
  </si>
  <si>
    <t>Issue Date</t>
  </si>
  <si>
    <t>Date of Maturity</t>
  </si>
  <si>
    <t>Embeded Option</t>
  </si>
  <si>
    <t>Call Date</t>
  </si>
  <si>
    <t>Call Price</t>
  </si>
  <si>
    <t>Coupon</t>
  </si>
  <si>
    <t>Coupon Freq</t>
  </si>
  <si>
    <t>Annual YTM</t>
  </si>
  <si>
    <t>Call</t>
  </si>
  <si>
    <t>SA</t>
  </si>
  <si>
    <t>BB+</t>
  </si>
  <si>
    <t>Period</t>
  </si>
  <si>
    <t>Cash Flow (CF)</t>
  </si>
  <si>
    <t>Discount Factors (DF)</t>
  </si>
  <si>
    <t>Present Value (PV)</t>
  </si>
  <si>
    <t>Time * PV</t>
  </si>
  <si>
    <t>Convexity</t>
  </si>
  <si>
    <t>Flat Price</t>
  </si>
  <si>
    <t>Days since last payment</t>
  </si>
  <si>
    <t>Total days in a coupon period</t>
  </si>
  <si>
    <t>Annual coupon  rate</t>
  </si>
  <si>
    <t>Semi annual coupon payment</t>
  </si>
  <si>
    <t>Accrued Interest</t>
  </si>
  <si>
    <t>Full Price</t>
  </si>
  <si>
    <t>YTM</t>
  </si>
  <si>
    <t>Discount Factor (semi annual yield)</t>
  </si>
  <si>
    <t>Macaulay Duration</t>
  </si>
  <si>
    <t>Modified duration</t>
  </si>
  <si>
    <t xml:space="preserve">Convexity </t>
  </si>
  <si>
    <t>Yield shift (bps)</t>
  </si>
  <si>
    <t>Yield change in decimal</t>
  </si>
  <si>
    <t>Yield change positive (+100 bps)</t>
  </si>
  <si>
    <t>Yield change negative (-100 bps)</t>
  </si>
  <si>
    <t>Total</t>
  </si>
  <si>
    <t>Bond Price with +100 bps yield</t>
  </si>
  <si>
    <t>Bond Price with -100 bps yield</t>
  </si>
  <si>
    <t>Annual yield with +100 bps change</t>
  </si>
  <si>
    <t>Payment SA</t>
  </si>
  <si>
    <t>Discount factor</t>
  </si>
  <si>
    <t>Present value</t>
  </si>
  <si>
    <t>Discount Factor</t>
  </si>
  <si>
    <t>Present Value</t>
  </si>
  <si>
    <t>Annual yield with -100 bps change</t>
  </si>
  <si>
    <t>Semi annual yield with +100bps change</t>
  </si>
  <si>
    <t>Semi annual yield with -100bps change</t>
  </si>
  <si>
    <t xml:space="preserve">New Price with +100 bps change </t>
  </si>
  <si>
    <t xml:space="preserve">New Price with -100 bps change </t>
  </si>
  <si>
    <t>Coupon payment dates</t>
  </si>
  <si>
    <t>AMAZON.COM, INC</t>
  </si>
  <si>
    <t>Annual Yield to call</t>
  </si>
  <si>
    <t>AA-</t>
  </si>
  <si>
    <t>Y</t>
  </si>
  <si>
    <t>Parameters</t>
  </si>
  <si>
    <t>Flat price + accrued interest</t>
  </si>
  <si>
    <t>convexity/(full price*(1+semi annual yield)^2)</t>
  </si>
  <si>
    <t>semi annual yield change with +100 bps</t>
  </si>
  <si>
    <t>semi annual yield change with -100 bps</t>
  </si>
  <si>
    <t xml:space="preserve">New Price with +100 bps </t>
  </si>
  <si>
    <t xml:space="preserve">New Price with -100 bps </t>
  </si>
  <si>
    <t>Number of periods (Yield to Call)</t>
  </si>
  <si>
    <t>YTC (Yield to call)</t>
  </si>
  <si>
    <t>Amazon.com 3.6% 04/32</t>
  </si>
  <si>
    <t>023135CH7</t>
  </si>
  <si>
    <t>April</t>
  </si>
  <si>
    <t>Oct</t>
  </si>
  <si>
    <t>FV </t>
  </si>
  <si>
    <t> </t>
  </si>
  <si>
    <t>Maturity date </t>
  </si>
  <si>
    <t>DIS 6.2 12/15/34</t>
  </si>
  <si>
    <t>US254687DZ66</t>
  </si>
  <si>
    <t>Walt Disney</t>
  </si>
  <si>
    <t>23/01/20</t>
  </si>
  <si>
    <t>Bond</t>
  </si>
  <si>
    <t>T</t>
  </si>
  <si>
    <t>t/T</t>
  </si>
  <si>
    <t>Accured Interest</t>
  </si>
  <si>
    <t>Flat Price </t>
  </si>
  <si>
    <t>Full Price </t>
  </si>
  <si>
    <t>AA</t>
  </si>
  <si>
    <t>Semi-Annual</t>
  </si>
  <si>
    <t>Coupon Dates</t>
  </si>
  <si>
    <t>594918BC7</t>
  </si>
  <si>
    <t>MICROSOFT CORP</t>
  </si>
  <si>
    <t>Feb</t>
  </si>
  <si>
    <t>August</t>
  </si>
  <si>
    <t>Aaa</t>
  </si>
  <si>
    <t>F 3 1/4”</t>
  </si>
  <si>
    <t>Total  Portfolio value</t>
  </si>
  <si>
    <t>Bond name</t>
  </si>
  <si>
    <t>Allocation in  %</t>
  </si>
  <si>
    <t>Number of Bonds allocated to portfolio</t>
  </si>
  <si>
    <t>Par value</t>
  </si>
  <si>
    <t>Coupon rate</t>
  </si>
  <si>
    <t>Duration</t>
  </si>
  <si>
    <t>Coupon payment</t>
  </si>
  <si>
    <t>YTM contribution</t>
  </si>
  <si>
    <t>Duration contribution</t>
  </si>
  <si>
    <t>Convexity Contribution</t>
  </si>
  <si>
    <t xml:space="preserve">Amazon </t>
  </si>
  <si>
    <t>Disney</t>
  </si>
  <si>
    <t>Microsoft</t>
  </si>
  <si>
    <t>Average coupon of Portfolio</t>
  </si>
  <si>
    <t>Total coupon on portfolio/Total Portfolio Value</t>
  </si>
  <si>
    <t>YTM of portfolio</t>
  </si>
  <si>
    <t>Total YTM/Total Portfolio Value</t>
  </si>
  <si>
    <t>Duration of Portfolio in Years</t>
  </si>
  <si>
    <t>Total duration/Portfolio Value</t>
  </si>
  <si>
    <t>Convexity of Portfolio</t>
  </si>
  <si>
    <t>Total convexity/ Portfolio Value</t>
  </si>
  <si>
    <t>sensitivity of the portfolio with +100 bps shift in yield</t>
  </si>
  <si>
    <t>Duration effect + Convexity effect (+100 bps)</t>
  </si>
  <si>
    <t>sensitivity of the portfolio with -100 bps shift in yield</t>
  </si>
  <si>
    <t>Duration effect + Convexity effect (-100 bps)</t>
  </si>
  <si>
    <t>Duration effect +100 bps</t>
  </si>
  <si>
    <t>Convexity effect +100 bps</t>
  </si>
  <si>
    <t>Duration effect -100 bps</t>
  </si>
  <si>
    <t>Convexity effect -100 bps</t>
  </si>
  <si>
    <t>Yield shift</t>
  </si>
  <si>
    <t>Annual yield shift +100bps</t>
  </si>
  <si>
    <t>Annual yield shift -100bps</t>
  </si>
  <si>
    <t>Aug</t>
  </si>
  <si>
    <t>Microsoft 3.5% 02/35</t>
  </si>
  <si>
    <t>Annual YTC</t>
  </si>
  <si>
    <t>Ford</t>
  </si>
  <si>
    <t>Values</t>
  </si>
  <si>
    <t>Portfolio Value</t>
  </si>
  <si>
    <t>New Price of Portfolio +100 bps</t>
  </si>
  <si>
    <t>New Price of Portfolio - 100 bps</t>
  </si>
  <si>
    <t>change in the portfolio value due to duration impact (+100 bps)</t>
  </si>
  <si>
    <t>change in the portfolio value due to convextiy impact (+100 bps)</t>
  </si>
  <si>
    <t>change in the portfolio value due to duration impact (-100 bps)</t>
  </si>
  <si>
    <t>change in the portfolio value due to convextiy impact (-100 bps)</t>
  </si>
  <si>
    <t>Incremental change in yield, expressed as fraction</t>
  </si>
  <si>
    <t>Annual updated yield with +100 bps increase</t>
  </si>
  <si>
    <t>Annual updated yield with -100 bps decrease</t>
  </si>
  <si>
    <t>Total portfolio value based on the present value and number of bond allocated to portfolio</t>
  </si>
  <si>
    <t>Portfolio value with recalculated with +100 bps shift</t>
  </si>
  <si>
    <t>Portfolio value with recalculated with -100 bps shift</t>
  </si>
  <si>
    <t>Portfolio Summary</t>
  </si>
  <si>
    <t>Portfolio value</t>
  </si>
  <si>
    <t>Average coupon rate</t>
  </si>
  <si>
    <t>YTM of the Portfolio</t>
  </si>
  <si>
    <t>Duration (in years)</t>
  </si>
  <si>
    <t>sensitivity with +100 bps shift</t>
  </si>
  <si>
    <t>sensitivity with -100 bps shift</t>
  </si>
  <si>
    <t>Corporate sectors</t>
  </si>
  <si>
    <t>Amazon</t>
  </si>
  <si>
    <t>E-commerce</t>
  </si>
  <si>
    <t>Entertainment</t>
  </si>
  <si>
    <t xml:space="preserve">Microsoft </t>
  </si>
  <si>
    <t>Technology</t>
  </si>
  <si>
    <t>Automotive</t>
  </si>
  <si>
    <t>Reason to select these bonds</t>
  </si>
  <si>
    <t>Reliable income backed by company's vast intellectual property and global reach, operation spans in multiple areas reducing sector specific risks. Entertainment based revenue excels in economic growth</t>
  </si>
  <si>
    <t>Strong revenue growth,consistent expanision, resilience to economic downturns and high investment grade bond due to financial stability</t>
  </si>
  <si>
    <t>Ability to withstand economic cycles due to innovation, stable revenues driven by its software, hardware and cloud services. Strong liquidity and extensive portfolio</t>
  </si>
  <si>
    <t>Portfolio Performance</t>
  </si>
  <si>
    <t xml:space="preserve">Parameters </t>
  </si>
  <si>
    <t>Portfolio Parameters</t>
  </si>
  <si>
    <t>Value</t>
  </si>
  <si>
    <t>Desrciption</t>
  </si>
  <si>
    <t>Current Portfolio Price</t>
  </si>
  <si>
    <t>Historical market presence and reputation give its bonds stability, Investment in EV position for long term growth. Global operation reduces reliance on a single market.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</si>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</sst>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&quot;$&quot;#,##0.00"/>
    <numFmt numFmtId="165" formatCode="0.0000"/>
    <numFmt numFmtId="166" formatCode="&quot;$&quot;#,##0.000000"/>
    <numFmt numFmtId="167" formatCode="0.000"/>
    <numFmt numFmtId="168" formatCode="0.0"/>
    <numFmt numFmtId="169" formatCode="0.000000"/>
    <numFmt numFmtId="170" formatCode="0.000000000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12"/>
      <color rgb="FF595959"/>
      <name val="Aptos Narrow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rgb="FF595959"/>
      <name val="Aptos Narrow"/>
      <family val="2"/>
    </font>
    <font>
      <sz val="12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75A3FF"/>
        <bgColor indexed="64"/>
      </patternFill>
    </fill>
    <fill>
      <patternFill patternType="solid">
        <fgColor rgb="FF0041C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83E28E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8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4" fillId="0" borderId="0" xfId="0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166" fontId="0" fillId="0" borderId="0" xfId="0" applyNumberFormat="1"/>
    <xf numFmtId="3" fontId="0" fillId="0" borderId="0" xfId="0" applyNumberFormat="1"/>
    <xf numFmtId="9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0" fontId="5" fillId="4" borderId="7" xfId="0" applyFont="1" applyFill="1" applyBorder="1"/>
    <xf numFmtId="0" fontId="6" fillId="5" borderId="0" xfId="0" applyFont="1" applyFill="1"/>
    <xf numFmtId="0" fontId="7" fillId="0" borderId="0" xfId="0" applyFont="1"/>
    <xf numFmtId="0" fontId="8" fillId="0" borderId="0" xfId="0" applyFont="1"/>
    <xf numFmtId="10" fontId="7" fillId="0" borderId="0" xfId="0" applyNumberFormat="1" applyFont="1"/>
    <xf numFmtId="0" fontId="6" fillId="6" borderId="0" xfId="0" applyFont="1" applyFill="1"/>
    <xf numFmtId="14" fontId="7" fillId="0" borderId="0" xfId="0" applyNumberFormat="1" applyFont="1"/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9" fontId="0" fillId="0" borderId="0" xfId="0" applyNumberFormat="1"/>
    <xf numFmtId="0" fontId="6" fillId="7" borderId="0" xfId="0" applyFont="1" applyFill="1"/>
    <xf numFmtId="0" fontId="7" fillId="7" borderId="0" xfId="0" applyFont="1" applyFill="1"/>
    <xf numFmtId="1" fontId="0" fillId="0" borderId="0" xfId="0" applyNumberFormat="1"/>
    <xf numFmtId="170" fontId="0" fillId="0" borderId="0" xfId="0" applyNumberFormat="1"/>
    <xf numFmtId="0" fontId="1" fillId="2" borderId="1" xfId="0" applyFont="1" applyFill="1" applyBorder="1" applyAlignment="1">
      <alignment horizontal="centerContinuous" vertical="center"/>
    </xf>
    <xf numFmtId="14" fontId="0" fillId="0" borderId="1" xfId="0" applyNumberFormat="1" applyBorder="1"/>
    <xf numFmtId="10" fontId="4" fillId="0" borderId="0" xfId="0" applyNumberFormat="1" applyFont="1"/>
    <xf numFmtId="3" fontId="4" fillId="0" borderId="0" xfId="0" applyNumberFormat="1" applyFont="1"/>
    <xf numFmtId="167" fontId="4" fillId="0" borderId="0" xfId="0" applyNumberFormat="1" applyFont="1"/>
    <xf numFmtId="0" fontId="2" fillId="0" borderId="9" xfId="0" applyFont="1" applyBorder="1" applyAlignment="1">
      <alignment horizontal="centerContinuous" vertical="center"/>
    </xf>
    <xf numFmtId="0" fontId="2" fillId="0" borderId="10" xfId="0" applyFont="1" applyBorder="1" applyAlignment="1">
      <alignment horizontal="centerContinuous" vertical="center"/>
    </xf>
    <xf numFmtId="14" fontId="2" fillId="0" borderId="9" xfId="0" applyNumberFormat="1" applyFont="1" applyBorder="1" applyAlignment="1">
      <alignment horizontal="centerContinuous" vertical="center"/>
    </xf>
    <xf numFmtId="3" fontId="2" fillId="0" borderId="6" xfId="0" applyNumberFormat="1" applyFont="1" applyBorder="1" applyAlignment="1">
      <alignment horizontal="center" vertical="center"/>
    </xf>
    <xf numFmtId="165" fontId="0" fillId="0" borderId="1" xfId="0" applyNumberFormat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/>
    <xf numFmtId="10" fontId="0" fillId="0" borderId="1" xfId="0" applyNumberFormat="1" applyBorder="1"/>
    <xf numFmtId="0" fontId="3" fillId="3" borderId="1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8" fontId="0" fillId="0" borderId="1" xfId="0" applyNumberFormat="1" applyBorder="1"/>
    <xf numFmtId="1" fontId="0" fillId="0" borderId="1" xfId="0" applyNumberFormat="1" applyBorder="1"/>
    <xf numFmtId="168" fontId="4" fillId="0" borderId="0" xfId="0" applyNumberFormat="1" applyFont="1"/>
    <xf numFmtId="0" fontId="1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3" fontId="0" fillId="8" borderId="8" xfId="0" applyNumberFormat="1" applyFill="1" applyBorder="1"/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9" fontId="0" fillId="0" borderId="0" xfId="0" applyNumberFormat="1" applyAlignment="1">
      <alignment horizontal="left" vertical="center"/>
    </xf>
    <xf numFmtId="9" fontId="0" fillId="0" borderId="0" xfId="0" applyNumberFormat="1" applyAlignment="1">
      <alignment vertical="center" wrapText="1"/>
    </xf>
    <xf numFmtId="0" fontId="12" fillId="4" borderId="8" xfId="0" applyFont="1" applyFill="1" applyBorder="1" applyAlignment="1">
      <alignment horizontal="centerContinuous" vertical="center"/>
    </xf>
    <xf numFmtId="0" fontId="12" fillId="4" borderId="13" xfId="0" applyFont="1" applyFill="1" applyBorder="1" applyAlignment="1">
      <alignment horizontal="centerContinuous" vertical="center"/>
    </xf>
    <xf numFmtId="0" fontId="12" fillId="4" borderId="14" xfId="0" applyFont="1" applyFill="1" applyBorder="1" applyAlignment="1">
      <alignment horizontal="centerContinuous" vertical="center"/>
    </xf>
    <xf numFmtId="0" fontId="0" fillId="0" borderId="15" xfId="0" applyBorder="1"/>
    <xf numFmtId="3" fontId="0" fillId="0" borderId="16" xfId="0" applyNumberFormat="1" applyBorder="1"/>
    <xf numFmtId="10" fontId="0" fillId="0" borderId="16" xfId="0" applyNumberFormat="1" applyBorder="1"/>
    <xf numFmtId="2" fontId="0" fillId="0" borderId="16" xfId="0" applyNumberFormat="1" applyBorder="1"/>
    <xf numFmtId="3" fontId="0" fillId="0" borderId="16" xfId="0" applyNumberFormat="1" applyBorder="1" applyAlignment="1">
      <alignment wrapText="1"/>
    </xf>
    <xf numFmtId="10" fontId="0" fillId="0" borderId="16" xfId="0" applyNumberFormat="1" applyBorder="1" applyAlignment="1">
      <alignment wrapText="1"/>
    </xf>
    <xf numFmtId="2" fontId="0" fillId="0" borderId="16" xfId="0" applyNumberFormat="1" applyBorder="1" applyAlignment="1">
      <alignment wrapText="1"/>
    </xf>
    <xf numFmtId="2" fontId="4" fillId="0" borderId="0" xfId="0" applyNumberFormat="1" applyFont="1"/>
    <xf numFmtId="0" fontId="0" fillId="0" borderId="0" xfId="0" applyAlignment="1">
      <alignment horizontal="centerContinuous"/>
    </xf>
    <xf numFmtId="0" fontId="5" fillId="4" borderId="17" xfId="0" applyFont="1" applyFill="1" applyBorder="1"/>
    <xf numFmtId="0" fontId="5" fillId="4" borderId="18" xfId="0" applyFont="1" applyFill="1" applyBorder="1"/>
    <xf numFmtId="0" fontId="5" fillId="4" borderId="19" xfId="0" applyFont="1" applyFill="1" applyBorder="1"/>
    <xf numFmtId="165" fontId="4" fillId="0" borderId="0" xfId="0" applyNumberFormat="1" applyFont="1"/>
    <xf numFmtId="0" fontId="5" fillId="4" borderId="21" xfId="0" applyFont="1" applyFill="1" applyBorder="1"/>
    <xf numFmtId="0" fontId="5" fillId="4" borderId="20" xfId="0" applyFont="1" applyFill="1" applyBorder="1"/>
    <xf numFmtId="0" fontId="13" fillId="0" borderId="0" xfId="0" applyFont="1"/>
    <xf numFmtId="0" fontId="14" fillId="0" borderId="0" xfId="0" applyFont="1"/>
    <xf numFmtId="14" fontId="14" fillId="0" borderId="0" xfId="0" applyNumberFormat="1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numFmt numFmtId="13" formatCode="0%"/>
      <alignment horizontal="general" vertical="center" textRotation="0" wrapText="1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167" formatCode="0.000"/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5" formatCode="0.00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&quot;$&quot;#,##0.00"/>
    </dxf>
    <dxf>
      <numFmt numFmtId="164" formatCode="&quot;$&quot;#,##0.00"/>
    </dxf>
    <dxf>
      <numFmt numFmtId="167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'Portfolio Allocation'!$B$5</c:f>
              <c:strCache>
                <c:ptCount val="1"/>
                <c:pt idx="0">
                  <c:v>Allocation in 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'Portfolio Allocation'!$A$6:$A$9</c:f>
              <c:strCache>
                <c:ptCount val="4"/>
                <c:pt idx="0">
                  <c:v>Amazon </c:v>
                </c:pt>
                <c:pt idx="1">
                  <c:v>Disney</c:v>
                </c:pt>
                <c:pt idx="2">
                  <c:v>Microsoft</c:v>
                </c:pt>
                <c:pt idx="3">
                  <c:v>Ford</c:v>
                </c:pt>
              </c:strCache>
            </c:strRef>
          </c:cat>
          <c:val>
            <c:numRef>
              <c:f>'Portfolio Allocation'!$B$6:$B$9</c:f>
              <c:numCache>
                <c:formatCode>0%</c:formatCode>
                <c:ptCount val="4"/>
                <c:pt idx="0">
                  <c:v>0.33</c:v>
                </c:pt>
                <c:pt idx="1">
                  <c:v>0.27</c:v>
                </c:pt>
                <c:pt idx="2">
                  <c:v>0.22</c:v>
                </c:pt>
                <c:pt idx="3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5-4B45-9822-8A7A47B49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'Portfolio Allocation'!$G$5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'Portfolio Allocation'!$A$6:$A$9</c:f>
              <c:strCache>
                <c:ptCount val="4"/>
                <c:pt idx="0">
                  <c:v>Amazon </c:v>
                </c:pt>
                <c:pt idx="1">
                  <c:v>Disney</c:v>
                </c:pt>
                <c:pt idx="2">
                  <c:v>Microsoft</c:v>
                </c:pt>
                <c:pt idx="3">
                  <c:v>Ford</c:v>
                </c:pt>
              </c:strCache>
            </c:strRef>
          </c:cat>
          <c:val>
            <c:numRef>
              <c:f>'Portfolio Allocation'!$G$6:$G$9</c:f>
              <c:numCache>
                <c:formatCode>General</c:formatCode>
                <c:ptCount val="4"/>
                <c:pt idx="0" formatCode="0.0">
                  <c:v>6.9863013698630141</c:v>
                </c:pt>
                <c:pt idx="1">
                  <c:v>9.5</c:v>
                </c:pt>
                <c:pt idx="2">
                  <c:v>10</c:v>
                </c:pt>
                <c:pt idx="3" formatCode="0">
                  <c:v>6.9138888888888888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C-4BE6-9D5A-B1E40654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737039"/>
        <c:axId val="1920869711"/>
      </c:barChart>
      <c:catAx>
        <c:axId val="8973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69711"/>
        <c:crosses val="autoZero"/>
        <c:auto val="1"/>
        <c:lblAlgn val="ctr"/>
        <c:lblOffset val="100"/>
        <c:noMultiLvlLbl val="0"/>
      </c:catAx>
      <c:valAx>
        <c:axId val="192086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3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339480</xdr:colOff>
      <xdr:row>14</xdr:row>
      <xdr:rowOff>160948</xdr:rowOff>
    </xdr:from>
    <xdr:to>
      <xdr:col>11</xdr:col>
      <xdr:colOff>625230</xdr:colOff>
      <xdr:row>23</xdr:row>
      <xdr:rowOff>193186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4F8DE-0A00-F832-8911-754F5D281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302845</xdr:colOff>
      <xdr:row>24</xdr:row>
      <xdr:rowOff>283062</xdr:rowOff>
    </xdr:from>
    <xdr:to>
      <xdr:col>11</xdr:col>
      <xdr:colOff>67162</xdr:colOff>
      <xdr:row>36</xdr:row>
      <xdr:rowOff>85480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DDC3A3-38AE-1F26-18F5-52D219AEF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22</xdr:row>
      <xdr:rowOff>4763</xdr:rowOff>
    </xdr:from>
    <xdr:to>
      <xdr:col>1</xdr:col>
      <xdr:colOff>3171826</xdr:colOff>
      <xdr:row>41</xdr:row>
      <xdr:rowOff>9524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FDD679-789F-B779-2F0A-142D4F5FF16B}"/>
            </a:ext>
          </a:extLst>
        </xdr:cNvPr>
        <xdr:cNvSpPr txBox="1"/>
      </xdr:nvSpPr>
      <xdr:spPr>
        <a:xfrm>
          <a:off x="1" y="6338888"/>
          <a:ext cx="4872038" cy="3443286"/>
        </a:xfrm>
        <a:prstGeom prst="rect">
          <a:avLst/>
        </a:prstGeom>
        <a:solidFill>
          <a:schemeClr val="lt1"/>
        </a:solidFill>
        <a:ln w="31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/>
            <a:t>The Federal Reserve is expected to maintain rates within a defined range, with fewer rate cuts anticipated. This could stabilize bond prices and reduce volatility.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/>
            <a:t>A healthy economy and disinflation trends may support corporate bond performance, especially for high-profile issuers like Amazon, Disney, Microsoft, and Ford.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/>
            <a:t>In a declining rate environment, the portfolio's convexity (225.98) enhances its ability to gain value (+9.44% for -100 bps). This positions it well for potential rate cuts or economic recovery scenarios.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/>
            <a:t>Bonds from different sectors (e-commerce, entertainment, technology, automotive) reduce risk exposure.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/>
            <a:t>Regular coupon payments and competitive YTM ensure consistent returns.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/>
            <a:t>Convexity advantage, protects against large price drops and amplifies gains in favorable conditions.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/>
            <a:t>Long duration increases vulnerability to rising rates</a:t>
          </a:r>
          <a:r>
            <a:rPr lang="en-IN" baseline="0"/>
            <a:t> showing sensitivity for rates.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/>
            <a:t>Performance depends on the financial health of individual issuers and their industries.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/>
            <a:t>Overall, the portfolio is well-positioned for steady income and potential gains in a stabilizing or declining rate environment,</a:t>
          </a:r>
          <a:r>
            <a:rPr lang="en-IN" baseline="0"/>
            <a:t> but  requires careful monitoring of interest rate trends.</a:t>
          </a:r>
          <a:endParaRPr lang="en-IN"/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endParaRPr lang="en-IN" baseline="0"/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endParaRPr lang="en-IN"/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endParaRPr lang="en-IN"/>
        </a:p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7F2697-1670-4C7C-8978-FBBFF88A5CE1}" name="Table14" displayName="Table14" ref="E8:J23" totalsRowShown="0">
  <autoFilter ref="E8:J23" xr:uid="{8B70F098-FE37-45B8-BE96-4F0121168332}"/>
  <tableColumns count="6">
    <tableColumn id="1" xr3:uid="{411DAF81-BBD8-4606-98F0-7EEA9EE56858}" name="Period"/>
    <tableColumn id="2" xr3:uid="{6F2679A2-CD7D-40E7-9E87-A627D3D27369}" name="Cash Flow (CF)"/>
    <tableColumn id="3" xr3:uid="{C3E23460-D129-4EB0-BA40-02EC4BC03644}" name="Discount Factors (DF)"/>
    <tableColumn id="4" xr3:uid="{0CA3713C-FD57-4E80-9791-128D5C277D05}" name="Present Value (PV)"/>
    <tableColumn id="5" xr3:uid="{18742FB4-5676-43A8-A491-D70BDA57046C}" name="Time * PV"/>
    <tableColumn id="6" xr3:uid="{76B0CF0C-0E4B-456A-9C41-B7E3323C6BD8}" name="Convex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DE1461-DBB6-48A3-B0FE-46C651DE1A21}" name="Table26" displayName="Table26" ref="E30:H45" totalsRowShown="0">
  <autoFilter ref="E30:H45" xr:uid="{44085D66-9A3C-45A9-871A-BBAD0A7F8464}"/>
  <tableColumns count="4">
    <tableColumn id="1" xr3:uid="{DF88F77D-DF04-4F55-8CFA-79B0D8A96BA1}" name="Period"/>
    <tableColumn id="2" xr3:uid="{4BF9E61E-C111-4174-A9E5-B83B0C3A8BC7}" name="Payment SA"/>
    <tableColumn id="3" xr3:uid="{6A11069B-36DD-4031-B3F7-3CB8A0A6BA5B}" name="Discount factor"/>
    <tableColumn id="4" xr3:uid="{071DE0EC-0C9B-4015-A53D-5450248CB932}" name="Present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7DA30C-58E5-4473-81AA-5B2DC0F52A80}" name="Table47" displayName="Table47" ref="L30:O45" totalsRowShown="0">
  <autoFilter ref="L30:O45" xr:uid="{057A4520-6CC1-4516-AD78-05741441AB57}"/>
  <tableColumns count="4">
    <tableColumn id="1" xr3:uid="{7E4513DB-0220-4502-A160-3BFC3BE9F6B1}" name="Period"/>
    <tableColumn id="2" xr3:uid="{FDEADCE9-4BCF-4358-B264-0EDE0DB0AF62}" name="Payment SA"/>
    <tableColumn id="3" xr3:uid="{A50586C8-CF6C-4E0A-8D00-F7CC7E07A4AD}" name="Discount factor"/>
    <tableColumn id="4" xr3:uid="{CC11E751-A905-4551-9A9D-CCB94B61E52C}" name="Present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074817-CD9B-4253-A6D9-EC4093BEF076}" name="Table8" displayName="Table8" ref="A8:B30" totalsRowShown="0">
  <autoFilter ref="A8:B30" xr:uid="{8D074817-CD9B-4253-A6D9-EC4093BEF076}"/>
  <tableColumns count="2">
    <tableColumn id="1" xr3:uid="{4BAFE024-26F5-4727-936B-607AECF6FD4C}" name="Parameters"/>
    <tableColumn id="2" xr3:uid="{5038B37C-ACB4-41F4-9D87-187B2AADDBBC}" name="Values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1193B0-3B49-4E92-A6F2-84340F31B91E}" name="Table13" displayName="Table13" ref="A8:B30" totalsRowShown="0">
  <autoFilter ref="A8:B30" xr:uid="{451193B0-3B49-4E92-A6F2-84340F31B91E}"/>
  <tableColumns count="2">
    <tableColumn id="1" xr3:uid="{7FE666AC-8A60-4371-8408-2A4DB4FB742B}" name="Parameters "/>
    <tableColumn id="2" xr3:uid="{0AAE7E0F-549C-4A17-8270-17D308BBBF90}" name="Valu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F5B182B-0B8F-4AF3-A722-B0E70E13B705}" name="Table17" displayName="Table17" ref="D8:I29" totalsRowShown="0">
  <autoFilter ref="D8:I29" xr:uid="{3F5B182B-0B8F-4AF3-A722-B0E70E13B705}"/>
  <tableColumns count="6">
    <tableColumn id="1" xr3:uid="{5372B9F0-54E7-442B-B3FC-8FC35FDBC83B}" name="Period"/>
    <tableColumn id="2" xr3:uid="{B3CDA23A-0C0F-4CB7-9341-0250AEBB1C57}" name="Cash Flow (CF)" dataDxfId="22"/>
    <tableColumn id="3" xr3:uid="{B3A0603E-F384-44B4-BFB5-B5BA8312DDF8}" name="Discount Factors (DF)"/>
    <tableColumn id="4" xr3:uid="{63750709-F1D2-4F01-B105-6882837C7B48}" name="Present Value (PV)" dataDxfId="21"/>
    <tableColumn id="5" xr3:uid="{5C88EC37-7C3D-4AA7-9E8F-0BBADE9A9D8B}" name="Time * PV"/>
    <tableColumn id="6" xr3:uid="{92A6B5CE-E577-4177-85AB-E9869EA36E17}" name="Convex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4AD8C60-14E7-4D66-BFB4-01BFEEB4736E}" name="Table18" displayName="Table18" ref="D32:G53" totalsRowShown="0">
  <autoFilter ref="D32:G53" xr:uid="{74AD8C60-14E7-4D66-BFB4-01BFEEB4736E}"/>
  <tableColumns count="4">
    <tableColumn id="1" xr3:uid="{EABD35AF-2EF4-4771-BB73-9B389FA5677E}" name="Period"/>
    <tableColumn id="2" xr3:uid="{84099D7B-C480-4E02-A314-CB6C03A86414}" name="Payment SA"/>
    <tableColumn id="3" xr3:uid="{8691B711-C90F-4572-B027-35D2A160B5BE}" name="Discount factor"/>
    <tableColumn id="4" xr3:uid="{BD1E632D-80DF-437E-994F-BAA4F07C1FF1}" name="Present 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20ABDCE-4260-4AD1-9557-855332AF6B7F}" name="Table19" displayName="Table19" ref="J32:M53" totalsRowShown="0">
  <autoFilter ref="J32:M53" xr:uid="{920ABDCE-4260-4AD1-9557-855332AF6B7F}"/>
  <tableColumns count="4">
    <tableColumn id="1" xr3:uid="{100F98EF-C991-44CB-B2AB-C07B74192D1C}" name="Period"/>
    <tableColumn id="2" xr3:uid="{77DCF143-A641-4AE5-ACA2-286246FF40C2}" name="Payment SA"/>
    <tableColumn id="3" xr3:uid="{E93457FA-FE06-425B-AE27-D5BA070C1C14}" name="Discount Factor"/>
    <tableColumn id="4" xr3:uid="{8C1D0BD1-48C5-4969-A4FD-5BEF2FE4671E}" name="Present 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F0045E9-C97B-4A60-AEDD-7EB77C0677B0}" name="Table12" displayName="Table12" ref="A11:B31" totalsRowShown="0">
  <autoFilter ref="A11:B31" xr:uid="{3F0045E9-C97B-4A60-AEDD-7EB77C0677B0}"/>
  <tableColumns count="2">
    <tableColumn id="1" xr3:uid="{1C79E7B4-319E-4D75-9BAA-677C998D25D1}" name="Parameters"/>
    <tableColumn id="2" xr3:uid="{1CA9967C-61A3-41BA-93E9-634624D8A7AF}" name="Valu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79FB73-B274-466C-9D1B-96C7BC1A9B04}" name="Table9" displayName="Table9" ref="F12:K32" totalsRowShown="0" headerRowDxfId="20" headerRowBorderDxfId="19" tableBorderDxfId="18">
  <autoFilter ref="F12:K32" xr:uid="{DE79FB73-B274-466C-9D1B-96C7BC1A9B04}"/>
  <tableColumns count="6">
    <tableColumn id="1" xr3:uid="{E2D65DA3-950D-459B-B2F8-A5AD549EFE1E}" name="Period"/>
    <tableColumn id="2" xr3:uid="{10940BAC-DCA8-40D5-B1C4-3B333A3A70B9}" name="Cash Flow (CF)"/>
    <tableColumn id="3" xr3:uid="{66FB9E0F-2FAE-4FEB-9141-6C87A84389B3}" name="Discount Factors (DF)" dataDxfId="17"/>
    <tableColumn id="4" xr3:uid="{59E70E79-A2DF-4678-98FD-50A544DCEB58}" name="Present Value (PV)"/>
    <tableColumn id="5" xr3:uid="{3AD0CA97-EA89-42BD-9926-D6E441B7FF22}" name="Time * PV"/>
    <tableColumn id="6" xr3:uid="{29015C62-03EF-4BE5-816F-996FFA01F24A}" name="Convexit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9922B2D-6B99-4095-B0E0-536B3602080C}" name="Table10" displayName="Table10" ref="F36:I56" totalsRowShown="0" headerRowDxfId="16" headerRowBorderDxfId="15">
  <autoFilter ref="F36:I56" xr:uid="{69922B2D-6B99-4095-B0E0-536B3602080C}"/>
  <tableColumns count="4">
    <tableColumn id="1" xr3:uid="{751FA4BD-383C-4E19-8007-A94297F4CCE2}" name="Period"/>
    <tableColumn id="2" xr3:uid="{97F56815-FFF8-4FD8-BEE6-7121C71F4595}" name="Payment SA"/>
    <tableColumn id="3" xr3:uid="{99E43124-FDE5-4613-A1FF-4F54965A991F}" name="Discount factor"/>
    <tableColumn id="4" xr3:uid="{44E9C17E-2349-46B4-9F6F-2D70DEF157E5}" name="Present 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1D2E0E9-812F-46EC-8DAD-32DF4C06254F}" name="Table11" displayName="Table11" ref="L36:O56" totalsRowShown="0" headerRowDxfId="14" headerRowBorderDxfId="13" tableBorderDxfId="12">
  <autoFilter ref="L36:O56" xr:uid="{61D2E0E9-812F-46EC-8DAD-32DF4C06254F}"/>
  <tableColumns count="4">
    <tableColumn id="1" xr3:uid="{36CFD589-38E8-45D4-8339-5F10FAADA1FD}" name="Period"/>
    <tableColumn id="2" xr3:uid="{F607FBF2-E1FD-4C45-8A7A-6F6B68025994}" name="Payment SA"/>
    <tableColumn id="3" xr3:uid="{FAF3C6B8-46D5-477A-BC84-2845A485934F}" name="Discount factor"/>
    <tableColumn id="4" xr3:uid="{B917A3AB-452A-4D30-A822-6C2A365BA2B4}" name="Present 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FF2615-331A-4B62-8EB8-6803092ACC6D}" name="Table142" displayName="Table142" ref="E8:J23" totalsRowShown="0">
  <autoFilter ref="E8:J23" xr:uid="{8B70F098-FE37-45B8-BE96-4F0121168332}"/>
  <tableColumns count="6">
    <tableColumn id="1" xr3:uid="{295C0383-03E5-46E3-82AD-005C177D720A}" name="Period"/>
    <tableColumn id="2" xr3:uid="{9E331FA9-25F5-4399-99EA-9E7F1B6B7798}" name="Cash Flow (CF)"/>
    <tableColumn id="3" xr3:uid="{F5630346-2B5F-457B-944C-C9438841FA4A}" name="Discount Factors (DF)"/>
    <tableColumn id="4" xr3:uid="{48F56ABB-05A8-47BE-9450-C3B0F2C58B14}" name="Present Value (PV)"/>
    <tableColumn id="5" xr3:uid="{64A33F0C-3614-4A81-90E0-1A11CEAE268A}" name="Time * PV"/>
    <tableColumn id="6" xr3:uid="{6921AB24-677A-4DED-B983-09ABEC0DEA33}" name="Convexit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9934DF-A16B-4C01-B7F2-AC4F44DE94D9}" name="Table263" displayName="Table263" ref="E30:H45" totalsRowShown="0">
  <autoFilter ref="E30:H45" xr:uid="{44085D66-9A3C-45A9-871A-BBAD0A7F8464}"/>
  <tableColumns count="4">
    <tableColumn id="1" xr3:uid="{2F5C7BE2-1732-4C44-8D56-EC93156C7C96}" name="Period"/>
    <tableColumn id="2" xr3:uid="{B8B2641B-B9AA-4185-8F65-7FA19955F14D}" name="Payment SA"/>
    <tableColumn id="3" xr3:uid="{9C786417-C808-4BFC-B388-CB5D6924DA86}" name="Discount factor"/>
    <tableColumn id="4" xr3:uid="{7ADF51A5-7E73-4F5F-990C-559CA3325EB0}" name="Present 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573C09-CFA4-4F7D-8C99-28DD9E9AFE02}" name="Table475" displayName="Table475" ref="L30:O45" totalsRowShown="0">
  <autoFilter ref="L30:O45" xr:uid="{057A4520-6CC1-4516-AD78-05741441AB57}"/>
  <tableColumns count="4">
    <tableColumn id="1" xr3:uid="{62A3E7BE-C5DA-445C-B935-EC3F7557798B}" name="Period"/>
    <tableColumn id="2" xr3:uid="{D3CF3120-8055-4072-AEEC-49AE9EE1CDE1}" name="Payment SA"/>
    <tableColumn id="3" xr3:uid="{B640E148-1118-4938-9653-70925F2426D0}" name="Discount factor"/>
    <tableColumn id="4" xr3:uid="{B849F531-711C-49F6-A02D-8155778E1C69}" name="Present valu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5780450-6DDD-402A-AAE5-39D2DB1C181F}" name="Table15" displayName="Table15" ref="A8:B30" totalsRowShown="0">
  <autoFilter ref="A8:B30" xr:uid="{05780450-6DDD-402A-AAE5-39D2DB1C181F}"/>
  <tableColumns count="2">
    <tableColumn id="1" xr3:uid="{66F343A1-0595-495E-9018-C4ED5E1D72BB}" name="Parameters"/>
    <tableColumn id="2" xr3:uid="{DA59E6D9-45F9-4B52-A533-3F22D1615BF6}" name="Values" dataDxfId="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0623B2-62C4-4D1F-ABA5-8A6291194F73}" name="Table7" displayName="Table7" ref="A5:N10" totalsRowShown="0">
  <autoFilter ref="A5:N10" xr:uid="{810623B2-62C4-4D1F-ABA5-8A6291194F73}"/>
  <tableColumns count="14">
    <tableColumn id="1" xr3:uid="{ADA96F93-2FEA-4E20-9F2E-899A8FCF7E6D}" name="Bond name"/>
    <tableColumn id="2" xr3:uid="{AB5FCDF1-B49F-418C-8606-C6164A419208}" name="Allocation in  %"/>
    <tableColumn id="9" xr3:uid="{DB7CC7D5-E546-4E17-B4A3-369B994972ED}" name="Number of Bonds allocated to portfolio" dataDxfId="10">
      <calculatedColumnFormula>Table7[[#This Row],[Allocation in  %]]/Table7[[#This Row],[Par value]]</calculatedColumnFormula>
    </tableColumn>
    <tableColumn id="3" xr3:uid="{3931A779-3E58-4245-9FCC-BB6C60D75901}" name="Par value"/>
    <tableColumn id="4" xr3:uid="{AA405FEE-E0F6-4CAA-9664-6A4CB18D86EC}" name="Coupon rate" dataDxfId="9"/>
    <tableColumn id="5" xr3:uid="{405792F1-5A2F-42AF-A1BC-DFEB4FC70296}" name="YTM" dataDxfId="8"/>
    <tableColumn id="6" xr3:uid="{748A5CE6-4381-4198-901F-59589F0DB71B}" name="Duration"/>
    <tableColumn id="7" xr3:uid="{EECF917F-538D-4781-A7DD-18AAD549FFB0}" name="Convexity"/>
    <tableColumn id="8" xr3:uid="{34BC17B7-D8E8-4590-82C9-B5BD801CEFFF}" name="Coupon payment">
      <calculatedColumnFormula>Table7[[#This Row],[Allocation in  %]]*Table7[[#This Row],[Coupon rate]]</calculatedColumnFormula>
    </tableColumn>
    <tableColumn id="10" xr3:uid="{8875F649-75F8-45C0-BE13-6B65BCF152BB}" name="YTM contribution" dataDxfId="7">
      <calculatedColumnFormula>Table7[[#This Row],[YTM]]*Table7[[#This Row],[Par value]]*Table7[[#This Row],[Number of Bonds allocated to portfolio]]</calculatedColumnFormula>
    </tableColumn>
    <tableColumn id="11" xr3:uid="{1D6EB7BF-5B11-4606-A381-FB088AA60873}" name="Duration contribution" dataDxfId="6">
      <calculatedColumnFormula>Table7[[#This Row],[Duration]]*Table7[[#This Row],[Par value]]*Table7[[#This Row],[Number of Bonds allocated to portfolio]]</calculatedColumnFormula>
    </tableColumn>
    <tableColumn id="12" xr3:uid="{2ED15EF2-5946-4B56-93AD-3F1135EAB24A}" name="Convexity Contribution" dataDxfId="5">
      <calculatedColumnFormula>Table7[[#This Row],[Number of Bonds allocated to portfolio]]*Table7[[#This Row],[Par value]]*Table7[[#This Row],[Convexity]]</calculatedColumnFormula>
    </tableColumn>
    <tableColumn id="13" xr3:uid="{C9B7A899-FB9E-45DC-8D6D-5D14366D3AD7}" name="Present Value" dataDxfId="4">
      <calculatedColumnFormula>Microsoft!J1</calculatedColumnFormula>
    </tableColumn>
    <tableColumn id="14" xr3:uid="{2D6942C8-0C8C-417F-AF6F-CC3DC356F280}" name="Current Portfolio Price" dataDxfId="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42031AB-DC28-46B3-98A8-785BB951F457}" name="Table16" displayName="Table16" ref="A14:C30" totalsRowShown="0">
  <autoFilter ref="A14:C30" xr:uid="{542031AB-DC28-46B3-98A8-785BB951F457}"/>
  <tableColumns count="3">
    <tableColumn id="1" xr3:uid="{018519DB-05FE-41AA-9EC4-E4E98712F527}" name="Portfolio Parameters" dataDxfId="2"/>
    <tableColumn id="2" xr3:uid="{79AB649A-E109-48C0-9C68-0C74EC26C6F5}" name="Value" dataDxfId="1"/>
    <tableColumn id="3" xr3:uid="{628D66A8-87A2-447E-94DC-F39BFBF17D34}" name="Desrc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842A-ECCB-4A2B-917C-534423CB769C}">
  <dimension ref="A1:Q127"/>
  <sheetViews>
    <sheetView zoomScale="71" zoomScaleNormal="85" workbookViewId="0">
      <selection activeCell="H23" sqref="H23"/>
    </sheetView>
  </sheetViews>
  <sheetFormatPr defaultRowHeight="14.25" x14ac:dyDescent="0.45"/>
  <cols>
    <col min="1" max="1" width="32.265625" bestFit="1" customWidth="1"/>
    <col min="2" max="2" width="14.86328125" bestFit="1" customWidth="1"/>
    <col min="3" max="3" width="37.3984375" bestFit="1" customWidth="1"/>
    <col min="4" max="4" width="14.1328125" bestFit="1" customWidth="1"/>
    <col min="5" max="5" width="14.73046875" customWidth="1"/>
    <col min="6" max="6" width="21.265625" bestFit="1" customWidth="1"/>
    <col min="7" max="7" width="19.86328125" customWidth="1"/>
    <col min="8" max="8" width="17.59765625" customWidth="1"/>
    <col min="9" max="9" width="14.73046875" bestFit="1" customWidth="1"/>
    <col min="10" max="10" width="14.86328125" customWidth="1"/>
    <col min="11" max="11" width="11.73046875" customWidth="1"/>
    <col min="12" max="12" width="15.265625" bestFit="1" customWidth="1"/>
    <col min="13" max="13" width="21" bestFit="1" customWidth="1"/>
    <col min="14" max="14" width="13.59765625" customWidth="1"/>
    <col min="15" max="15" width="15.265625" bestFit="1" customWidth="1"/>
    <col min="16" max="16" width="11.59765625" bestFit="1" customWidth="1"/>
    <col min="17" max="17" width="10.3984375" bestFit="1" customWidth="1"/>
  </cols>
  <sheetData>
    <row r="1" spans="1:1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00" t="s">
        <v>13</v>
      </c>
      <c r="O1" s="100"/>
      <c r="P1" s="47" t="s">
        <v>68</v>
      </c>
      <c r="Q1" s="47"/>
    </row>
    <row r="2" spans="1:17" x14ac:dyDescent="0.45">
      <c r="A2" s="57" t="s">
        <v>82</v>
      </c>
      <c r="B2" s="57" t="s">
        <v>83</v>
      </c>
      <c r="C2" s="57" t="s">
        <v>69</v>
      </c>
      <c r="D2" s="48">
        <v>45767</v>
      </c>
      <c r="E2" s="66">
        <f>_xlfn.DAYS(H5,D2)/365</f>
        <v>6.9863013698630141</v>
      </c>
      <c r="F2" s="57">
        <v>100</v>
      </c>
      <c r="G2" s="57">
        <f>F2*L5/2</f>
        <v>1.7999999999999998</v>
      </c>
      <c r="H2" s="66">
        <f>E2*2</f>
        <v>13.972602739726028</v>
      </c>
      <c r="I2" s="57">
        <f>RATE(H2,G2,J2,F2,0)</f>
        <v>2.3168803031247673E-2</v>
      </c>
      <c r="J2" s="66">
        <v>-93.89</v>
      </c>
      <c r="K2" s="57">
        <f>_xlfn.DAYS(D2,P2)</f>
        <v>7</v>
      </c>
      <c r="L2" s="48">
        <v>44847</v>
      </c>
      <c r="M2" s="48">
        <v>45760</v>
      </c>
      <c r="N2" s="57" t="s">
        <v>84</v>
      </c>
      <c r="O2" s="57" t="s">
        <v>85</v>
      </c>
      <c r="P2" s="48">
        <v>45760</v>
      </c>
      <c r="Q2" s="48">
        <v>45943</v>
      </c>
    </row>
    <row r="3" spans="1:17" x14ac:dyDescent="0.45">
      <c r="A3" s="14"/>
      <c r="B3" s="14"/>
      <c r="C3" s="14"/>
      <c r="D3" s="15"/>
      <c r="E3" s="14"/>
      <c r="F3" s="14"/>
      <c r="G3" s="14"/>
      <c r="H3" s="14"/>
      <c r="I3" s="16"/>
      <c r="J3" s="14"/>
      <c r="K3" s="14"/>
      <c r="L3" s="15"/>
      <c r="M3" s="15"/>
      <c r="N3" s="14"/>
      <c r="O3" s="14"/>
      <c r="P3" s="1"/>
      <c r="Q3" s="1"/>
    </row>
    <row r="4" spans="1:17" x14ac:dyDescent="0.45">
      <c r="A4" s="58" t="s">
        <v>0</v>
      </c>
      <c r="B4" s="58" t="s">
        <v>1</v>
      </c>
      <c r="C4" s="58" t="s">
        <v>2</v>
      </c>
      <c r="D4" s="58" t="s">
        <v>18</v>
      </c>
      <c r="E4" s="58" t="s">
        <v>19</v>
      </c>
      <c r="F4" s="58" t="s">
        <v>20</v>
      </c>
      <c r="G4" s="58" t="s">
        <v>21</v>
      </c>
      <c r="H4" s="58" t="s">
        <v>22</v>
      </c>
      <c r="I4" s="58" t="s">
        <v>23</v>
      </c>
      <c r="J4" s="58" t="s">
        <v>24</v>
      </c>
      <c r="K4" s="58" t="s">
        <v>25</v>
      </c>
      <c r="L4" s="58" t="s">
        <v>26</v>
      </c>
      <c r="M4" s="58" t="s">
        <v>27</v>
      </c>
      <c r="N4" s="58" t="s">
        <v>28</v>
      </c>
      <c r="O4" s="58" t="s">
        <v>70</v>
      </c>
    </row>
    <row r="5" spans="1:17" x14ac:dyDescent="0.45">
      <c r="A5" s="57" t="s">
        <v>82</v>
      </c>
      <c r="B5" s="57" t="s">
        <v>83</v>
      </c>
      <c r="C5" s="57" t="s">
        <v>69</v>
      </c>
      <c r="D5" s="59" t="s">
        <v>71</v>
      </c>
      <c r="E5" s="60">
        <v>2500</v>
      </c>
      <c r="F5" s="60">
        <v>2500</v>
      </c>
      <c r="G5" s="48">
        <v>44664</v>
      </c>
      <c r="H5" s="48">
        <v>48317</v>
      </c>
      <c r="I5" s="57" t="s">
        <v>72</v>
      </c>
      <c r="J5" s="48">
        <v>48226</v>
      </c>
      <c r="K5" s="57">
        <v>100</v>
      </c>
      <c r="L5" s="61">
        <v>3.5999999999999997E-2</v>
      </c>
      <c r="M5" s="57" t="s">
        <v>30</v>
      </c>
      <c r="N5" s="56">
        <f>B16</f>
        <v>4.6337606062495346E-2</v>
      </c>
      <c r="O5" s="56">
        <f>B30</f>
        <v>4.6814689469786341E-2</v>
      </c>
    </row>
    <row r="7" spans="1:17" x14ac:dyDescent="0.45">
      <c r="C7" s="1"/>
      <c r="D7" s="29"/>
    </row>
    <row r="8" spans="1:17" x14ac:dyDescent="0.45">
      <c r="A8" t="s">
        <v>73</v>
      </c>
      <c r="B8" t="s">
        <v>145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 spans="1:17" x14ac:dyDescent="0.45">
      <c r="A9" s="13" t="s">
        <v>38</v>
      </c>
      <c r="B9" s="29">
        <f>J2</f>
        <v>-93.89</v>
      </c>
      <c r="C9" s="19"/>
      <c r="E9">
        <v>1</v>
      </c>
      <c r="F9">
        <f>$G$2</f>
        <v>1.7999999999999998</v>
      </c>
      <c r="G9">
        <f>(1+$B$17)^-E9</f>
        <v>0.97735583516365288</v>
      </c>
      <c r="H9">
        <f>F9*G9</f>
        <v>1.759240503294575</v>
      </c>
      <c r="I9">
        <f>E9*H9</f>
        <v>1.759240503294575</v>
      </c>
      <c r="J9">
        <f>E9*(E9+1)*H9</f>
        <v>3.5184810065891501</v>
      </c>
      <c r="M9" s="18"/>
      <c r="N9" s="18"/>
      <c r="O9" s="20"/>
    </row>
    <row r="10" spans="1:17" x14ac:dyDescent="0.45">
      <c r="A10" s="13" t="s">
        <v>39</v>
      </c>
      <c r="B10">
        <f>K2</f>
        <v>7</v>
      </c>
      <c r="E10">
        <v>2</v>
      </c>
      <c r="F10">
        <f t="shared" ref="F10:F21" si="0">$G$2</f>
        <v>1.7999999999999998</v>
      </c>
      <c r="G10">
        <f t="shared" ref="G10:G22" si="1">(1+$B$17)^-E10</f>
        <v>0.95522442852844147</v>
      </c>
      <c r="H10">
        <f t="shared" ref="H10:H22" si="2">F10*G10</f>
        <v>1.7194039713511944</v>
      </c>
      <c r="I10">
        <f t="shared" ref="I10:I22" si="3">E10*H10</f>
        <v>3.4388079427023888</v>
      </c>
      <c r="J10">
        <f t="shared" ref="J10:J22" si="4">E10*(E10+1)*H10</f>
        <v>10.316423828107165</v>
      </c>
      <c r="M10" s="18"/>
      <c r="N10" s="18"/>
      <c r="O10" s="20"/>
    </row>
    <row r="11" spans="1:17" x14ac:dyDescent="0.45">
      <c r="A11" t="s">
        <v>40</v>
      </c>
      <c r="B11">
        <f>DAYS360(P2,Q2,FALSE)</f>
        <v>180</v>
      </c>
      <c r="E11">
        <v>3</v>
      </c>
      <c r="F11">
        <f t="shared" si="0"/>
        <v>1.7999999999999998</v>
      </c>
      <c r="G11">
        <f t="shared" si="1"/>
        <v>0.93359416911313797</v>
      </c>
      <c r="H11">
        <f t="shared" si="2"/>
        <v>1.6804695044036482</v>
      </c>
      <c r="I11">
        <f t="shared" si="3"/>
        <v>5.0414085132109445</v>
      </c>
      <c r="J11">
        <f t="shared" si="4"/>
        <v>20.165634052843778</v>
      </c>
      <c r="M11" s="18"/>
      <c r="N11" s="18"/>
      <c r="O11" s="20"/>
    </row>
    <row r="12" spans="1:17" x14ac:dyDescent="0.45">
      <c r="A12" t="s">
        <v>41</v>
      </c>
      <c r="B12" s="20">
        <f>L5</f>
        <v>3.5999999999999997E-2</v>
      </c>
      <c r="E12">
        <v>4</v>
      </c>
      <c r="F12">
        <f t="shared" si="0"/>
        <v>1.7999999999999998</v>
      </c>
      <c r="G12">
        <f t="shared" si="1"/>
        <v>0.91245370885748756</v>
      </c>
      <c r="H12">
        <f t="shared" si="2"/>
        <v>1.6424166759434775</v>
      </c>
      <c r="I12">
        <f t="shared" si="3"/>
        <v>6.56966670377391</v>
      </c>
      <c r="J12">
        <f t="shared" si="4"/>
        <v>32.848333518869552</v>
      </c>
      <c r="M12" s="18"/>
      <c r="N12" s="18"/>
      <c r="O12" s="20"/>
    </row>
    <row r="13" spans="1:17" x14ac:dyDescent="0.45">
      <c r="A13" t="s">
        <v>42</v>
      </c>
      <c r="B13" s="18">
        <f>G2</f>
        <v>1.7999999999999998</v>
      </c>
      <c r="E13">
        <v>5</v>
      </c>
      <c r="F13">
        <f t="shared" si="0"/>
        <v>1.7999999999999998</v>
      </c>
      <c r="G13">
        <f t="shared" si="1"/>
        <v>0.89179195666858235</v>
      </c>
      <c r="H13">
        <f t="shared" si="2"/>
        <v>1.6052255220034481</v>
      </c>
      <c r="I13">
        <f t="shared" si="3"/>
        <v>8.026127610017241</v>
      </c>
      <c r="J13">
        <f t="shared" si="4"/>
        <v>48.156765660103446</v>
      </c>
      <c r="M13" s="18"/>
      <c r="N13" s="18"/>
      <c r="O13" s="20"/>
    </row>
    <row r="14" spans="1:17" x14ac:dyDescent="0.45">
      <c r="A14" t="s">
        <v>43</v>
      </c>
      <c r="B14">
        <f>(B10/B11)*B13</f>
        <v>6.9999999999999993E-2</v>
      </c>
      <c r="C14" s="25"/>
      <c r="E14">
        <v>6</v>
      </c>
      <c r="F14">
        <f t="shared" si="0"/>
        <v>1.7999999999999998</v>
      </c>
      <c r="G14">
        <f t="shared" si="1"/>
        <v>0.87159807260205036</v>
      </c>
      <c r="H14">
        <f t="shared" si="2"/>
        <v>1.5688765306836905</v>
      </c>
      <c r="I14">
        <f t="shared" si="3"/>
        <v>9.4132591841021434</v>
      </c>
      <c r="J14">
        <f t="shared" si="4"/>
        <v>65.892814288715002</v>
      </c>
      <c r="M14" s="18"/>
      <c r="N14" s="18"/>
      <c r="O14" s="20"/>
    </row>
    <row r="15" spans="1:17" x14ac:dyDescent="0.45">
      <c r="A15" t="s">
        <v>44</v>
      </c>
      <c r="B15" s="17">
        <f>B14-B9</f>
        <v>93.96</v>
      </c>
      <c r="C15" t="s">
        <v>74</v>
      </c>
      <c r="E15">
        <v>7</v>
      </c>
      <c r="F15">
        <f t="shared" si="0"/>
        <v>1.7999999999999998</v>
      </c>
      <c r="G15">
        <f t="shared" si="1"/>
        <v>0.85186146217500713</v>
      </c>
      <c r="H15">
        <f t="shared" si="2"/>
        <v>1.5333506319150128</v>
      </c>
      <c r="I15">
        <f t="shared" si="3"/>
        <v>10.733454423405089</v>
      </c>
      <c r="J15">
        <f t="shared" si="4"/>
        <v>85.867635387240711</v>
      </c>
      <c r="M15" s="18"/>
      <c r="N15" s="18"/>
      <c r="O15" s="20"/>
    </row>
    <row r="16" spans="1:17" x14ac:dyDescent="0.45">
      <c r="A16" t="s">
        <v>45</v>
      </c>
      <c r="B16" s="21">
        <f>RATE(H2,G2,J2,F2)*2</f>
        <v>4.6337606062495346E-2</v>
      </c>
      <c r="E16">
        <v>8</v>
      </c>
      <c r="F16">
        <f t="shared" si="0"/>
        <v>1.7999999999999998</v>
      </c>
      <c r="G16">
        <f t="shared" si="1"/>
        <v>0.83257177080778455</v>
      </c>
      <c r="H16">
        <f t="shared" si="2"/>
        <v>1.4986291874540121</v>
      </c>
      <c r="I16">
        <f t="shared" si="3"/>
        <v>11.989033499632097</v>
      </c>
      <c r="J16">
        <f t="shared" si="4"/>
        <v>107.90130149668887</v>
      </c>
      <c r="M16" s="18"/>
      <c r="N16" s="18"/>
      <c r="O16" s="20"/>
    </row>
    <row r="17" spans="1:15" x14ac:dyDescent="0.45">
      <c r="A17" t="s">
        <v>46</v>
      </c>
      <c r="B17" s="28">
        <f>B16/2</f>
        <v>2.3168803031247673E-2</v>
      </c>
      <c r="E17">
        <v>9</v>
      </c>
      <c r="F17">
        <f t="shared" si="0"/>
        <v>1.7999999999999998</v>
      </c>
      <c r="G17">
        <f t="shared" si="1"/>
        <v>0.81371887839152368</v>
      </c>
      <c r="H17">
        <f t="shared" si="2"/>
        <v>1.4646939811047426</v>
      </c>
      <c r="I17">
        <f t="shared" si="3"/>
        <v>13.182245829942683</v>
      </c>
      <c r="J17">
        <f t="shared" si="4"/>
        <v>131.82245829942684</v>
      </c>
      <c r="M17" s="18"/>
      <c r="N17" s="18"/>
      <c r="O17" s="20"/>
    </row>
    <row r="18" spans="1:15" x14ac:dyDescent="0.45">
      <c r="A18" t="s">
        <v>47</v>
      </c>
      <c r="B18" s="28">
        <f>I23/H23</f>
        <v>12.43998649147002</v>
      </c>
      <c r="E18">
        <v>10</v>
      </c>
      <c r="F18">
        <f t="shared" si="0"/>
        <v>1.7999999999999998</v>
      </c>
      <c r="G18">
        <f t="shared" si="1"/>
        <v>0.79529289397877856</v>
      </c>
      <c r="H18">
        <f t="shared" si="2"/>
        <v>1.4315272091618012</v>
      </c>
      <c r="I18">
        <f t="shared" si="3"/>
        <v>14.315272091618013</v>
      </c>
      <c r="J18">
        <f t="shared" si="4"/>
        <v>157.46799300779813</v>
      </c>
      <c r="M18" s="18"/>
      <c r="N18" s="18"/>
      <c r="O18" s="20"/>
    </row>
    <row r="19" spans="1:15" x14ac:dyDescent="0.45">
      <c r="A19" t="s">
        <v>48</v>
      </c>
      <c r="B19" s="28">
        <f>B18/(1+B17)</f>
        <v>12.15829338679524</v>
      </c>
      <c r="C19" s="18"/>
      <c r="E19">
        <v>11</v>
      </c>
      <c r="F19">
        <f t="shared" si="0"/>
        <v>1.7999999999999998</v>
      </c>
      <c r="G19">
        <f t="shared" si="1"/>
        <v>0.77728415059434763</v>
      </c>
      <c r="H19">
        <f t="shared" si="2"/>
        <v>1.3991114710698256</v>
      </c>
      <c r="I19">
        <f t="shared" si="3"/>
        <v>15.390226181768082</v>
      </c>
      <c r="J19">
        <f t="shared" si="4"/>
        <v>184.68271418121697</v>
      </c>
      <c r="M19" s="18"/>
      <c r="N19" s="18"/>
      <c r="O19" s="20"/>
    </row>
    <row r="20" spans="1:15" x14ac:dyDescent="0.45">
      <c r="A20" t="s">
        <v>49</v>
      </c>
      <c r="B20" s="28">
        <f>J23/(B15*(1+B17)^2)</f>
        <v>170.98197806354284</v>
      </c>
      <c r="C20" s="18" t="s">
        <v>75</v>
      </c>
      <c r="E20">
        <v>12</v>
      </c>
      <c r="F20">
        <f t="shared" si="0"/>
        <v>1.7999999999999998</v>
      </c>
      <c r="G20">
        <f t="shared" si="1"/>
        <v>0.75968320016360913</v>
      </c>
      <c r="H20">
        <f t="shared" si="2"/>
        <v>1.3674297602944963</v>
      </c>
      <c r="I20">
        <f t="shared" si="3"/>
        <v>16.409157123533955</v>
      </c>
      <c r="J20">
        <f t="shared" si="4"/>
        <v>213.31904260594141</v>
      </c>
      <c r="M20" s="18"/>
      <c r="N20" s="18"/>
      <c r="O20" s="20"/>
    </row>
    <row r="21" spans="1:15" x14ac:dyDescent="0.45">
      <c r="A21" t="s">
        <v>50</v>
      </c>
      <c r="B21">
        <v>100</v>
      </c>
      <c r="E21">
        <v>13</v>
      </c>
      <c r="F21">
        <f t="shared" si="0"/>
        <v>1.7999999999999998</v>
      </c>
      <c r="G21">
        <f t="shared" si="1"/>
        <v>0.74248080855570064</v>
      </c>
      <c r="H21">
        <f t="shared" si="2"/>
        <v>1.3364654554002611</v>
      </c>
      <c r="I21">
        <f t="shared" si="3"/>
        <v>17.374050920203395</v>
      </c>
      <c r="J21">
        <f t="shared" si="4"/>
        <v>243.23671288284751</v>
      </c>
      <c r="M21" s="18"/>
      <c r="N21" s="18"/>
      <c r="O21" s="20"/>
    </row>
    <row r="22" spans="1:15" x14ac:dyDescent="0.45">
      <c r="A22" t="s">
        <v>51</v>
      </c>
      <c r="B22">
        <f>B21/10000</f>
        <v>0.01</v>
      </c>
      <c r="E22">
        <v>14</v>
      </c>
      <c r="F22">
        <f>$G$2+$F$2</f>
        <v>101.8</v>
      </c>
      <c r="G22">
        <f t="shared" si="1"/>
        <v>0.72566795073894108</v>
      </c>
      <c r="H22">
        <f t="shared" si="2"/>
        <v>73.872997385224195</v>
      </c>
      <c r="I22">
        <f t="shared" si="3"/>
        <v>1034.2219633931388</v>
      </c>
      <c r="J22">
        <f t="shared" si="4"/>
        <v>15513.329450897081</v>
      </c>
      <c r="M22" s="18"/>
      <c r="N22" s="18"/>
      <c r="O22" s="20"/>
    </row>
    <row r="23" spans="1:15" x14ac:dyDescent="0.45">
      <c r="A23" t="s">
        <v>52</v>
      </c>
      <c r="B23" s="28">
        <f>B16+B22</f>
        <v>5.6337606062495348E-2</v>
      </c>
      <c r="E23" s="24" t="s">
        <v>54</v>
      </c>
      <c r="F23" s="23">
        <f>SUM(F9:F22)</f>
        <v>125.2</v>
      </c>
      <c r="G23" s="23">
        <f>SUM(G9:G22)</f>
        <v>11.840579286339045</v>
      </c>
      <c r="H23" s="68">
        <f>SUM(H9:H22)</f>
        <v>93.879837789304389</v>
      </c>
      <c r="I23" s="23">
        <f>SUM(I9:I22)</f>
        <v>1167.8639139203433</v>
      </c>
      <c r="J23" s="23">
        <f>SUM(J9:J22)</f>
        <v>16818.525761113469</v>
      </c>
      <c r="M23" s="18"/>
      <c r="N23" s="18"/>
      <c r="O23" s="20"/>
    </row>
    <row r="24" spans="1:15" x14ac:dyDescent="0.45">
      <c r="A24" t="s">
        <v>53</v>
      </c>
      <c r="B24" s="28">
        <f>B16-B22</f>
        <v>3.6337606062495344E-2</v>
      </c>
      <c r="M24" s="18"/>
      <c r="N24" s="18"/>
      <c r="O24" s="20"/>
    </row>
    <row r="25" spans="1:15" x14ac:dyDescent="0.45">
      <c r="A25" t="s">
        <v>76</v>
      </c>
      <c r="B25" s="28">
        <f>B23/2</f>
        <v>2.8168803031247674E-2</v>
      </c>
      <c r="C25" s="30"/>
      <c r="M25" s="18"/>
      <c r="N25" s="18"/>
      <c r="O25" s="20"/>
    </row>
    <row r="26" spans="1:15" x14ac:dyDescent="0.45">
      <c r="A26" t="s">
        <v>77</v>
      </c>
      <c r="B26" s="28">
        <f>B24/2</f>
        <v>1.8168803031247672E-2</v>
      </c>
      <c r="M26" s="18"/>
      <c r="N26" s="18"/>
      <c r="O26" s="20"/>
    </row>
    <row r="27" spans="1:15" x14ac:dyDescent="0.45">
      <c r="A27" t="s">
        <v>78</v>
      </c>
      <c r="B27" s="28">
        <f>H45</f>
        <v>88.368538418255596</v>
      </c>
    </row>
    <row r="28" spans="1:15" x14ac:dyDescent="0.45">
      <c r="A28" t="s">
        <v>79</v>
      </c>
      <c r="B28" s="28">
        <f>O45</f>
        <v>99.792984301267509</v>
      </c>
      <c r="C28" s="28"/>
      <c r="E28" s="22"/>
      <c r="F28" s="22"/>
      <c r="G28" s="22"/>
      <c r="J28" s="22"/>
    </row>
    <row r="29" spans="1:15" x14ac:dyDescent="0.45">
      <c r="A29" t="s">
        <v>80</v>
      </c>
      <c r="B29" s="45">
        <f>DAYS360(D2,J5,0)/365*2</f>
        <v>13.276712328767124</v>
      </c>
      <c r="E29" s="22" t="s">
        <v>55</v>
      </c>
      <c r="F29" s="22"/>
      <c r="G29" s="22"/>
      <c r="H29" s="22"/>
      <c r="L29" s="22" t="s">
        <v>56</v>
      </c>
      <c r="M29" s="22"/>
      <c r="N29" s="22"/>
      <c r="O29" s="22"/>
    </row>
    <row r="30" spans="1:15" x14ac:dyDescent="0.45">
      <c r="A30" t="s">
        <v>81</v>
      </c>
      <c r="B30" s="21">
        <f>RATE(B29,G2,J2,K5)*2</f>
        <v>4.6814689469786341E-2</v>
      </c>
      <c r="E30" t="s">
        <v>32</v>
      </c>
      <c r="F30" t="s">
        <v>58</v>
      </c>
      <c r="G30" t="s">
        <v>59</v>
      </c>
      <c r="H30" t="s">
        <v>60</v>
      </c>
      <c r="L30" t="s">
        <v>32</v>
      </c>
      <c r="M30" t="s">
        <v>58</v>
      </c>
      <c r="N30" t="s">
        <v>59</v>
      </c>
      <c r="O30" t="s">
        <v>60</v>
      </c>
    </row>
    <row r="31" spans="1:15" x14ac:dyDescent="0.45">
      <c r="E31">
        <v>1</v>
      </c>
      <c r="F31">
        <f>$G$2</f>
        <v>1.7999999999999998</v>
      </c>
      <c r="G31">
        <f>1/(1+$B$25)^E31</f>
        <v>0.97260293937318421</v>
      </c>
      <c r="H31">
        <f>F31*G31</f>
        <v>1.7506852908717314</v>
      </c>
      <c r="L31">
        <v>1</v>
      </c>
      <c r="M31">
        <f>$G$2</f>
        <v>1.7999999999999998</v>
      </c>
      <c r="N31" s="46">
        <f>1/(1+$B$26)^L31</f>
        <v>0.98215541177734345</v>
      </c>
      <c r="O31">
        <f>M31*N31</f>
        <v>1.767879741199218</v>
      </c>
    </row>
    <row r="32" spans="1:15" x14ac:dyDescent="0.45">
      <c r="E32">
        <v>2</v>
      </c>
      <c r="F32">
        <f t="shared" ref="F32:F43" si="5">$G$2</f>
        <v>1.7999999999999998</v>
      </c>
      <c r="G32">
        <f t="shared" ref="G32:G44" si="6">1/(1+$B$25)^E32</f>
        <v>0.94595647767735791</v>
      </c>
      <c r="H32">
        <f t="shared" ref="H32:H44" si="7">F32*G32</f>
        <v>1.7027216598192441</v>
      </c>
      <c r="L32">
        <v>2</v>
      </c>
      <c r="M32">
        <f t="shared" ref="M32:M43" si="8">$G$2</f>
        <v>1.7999999999999998</v>
      </c>
      <c r="N32">
        <f t="shared" ref="N32:N44" si="9">1/(1+$B$26)^L32</f>
        <v>0.96462925288352319</v>
      </c>
      <c r="O32">
        <f t="shared" ref="O32:O44" si="10">M32*N32</f>
        <v>1.7363326551903415</v>
      </c>
    </row>
    <row r="33" spans="2:15" x14ac:dyDescent="0.45">
      <c r="E33">
        <v>3</v>
      </c>
      <c r="F33">
        <f t="shared" si="5"/>
        <v>1.7999999999999998</v>
      </c>
      <c r="G33">
        <f t="shared" si="6"/>
        <v>0.92004005070810224</v>
      </c>
      <c r="H33">
        <f t="shared" si="7"/>
        <v>1.6560720912745839</v>
      </c>
      <c r="L33">
        <v>3</v>
      </c>
      <c r="M33">
        <f t="shared" si="8"/>
        <v>1.7999999999999998</v>
      </c>
      <c r="N33">
        <f t="shared" si="9"/>
        <v>0.9474158410782878</v>
      </c>
      <c r="O33">
        <f t="shared" si="10"/>
        <v>1.7053485139409179</v>
      </c>
    </row>
    <row r="34" spans="2:15" x14ac:dyDescent="0.45">
      <c r="E34">
        <v>4</v>
      </c>
      <c r="F34">
        <f t="shared" si="5"/>
        <v>1.7999999999999998</v>
      </c>
      <c r="G34">
        <f t="shared" si="6"/>
        <v>0.89483365765975376</v>
      </c>
      <c r="H34">
        <f t="shared" si="7"/>
        <v>1.6107005837875565</v>
      </c>
      <c r="L34">
        <v>4</v>
      </c>
      <c r="M34">
        <f t="shared" si="8"/>
        <v>1.7999999999999998</v>
      </c>
      <c r="N34">
        <f t="shared" si="9"/>
        <v>0.930509595518624</v>
      </c>
      <c r="O34">
        <f t="shared" si="10"/>
        <v>1.674917271933523</v>
      </c>
    </row>
    <row r="35" spans="2:15" x14ac:dyDescent="0.45">
      <c r="E35">
        <v>5</v>
      </c>
      <c r="F35">
        <f t="shared" si="5"/>
        <v>1.7999999999999998</v>
      </c>
      <c r="G35">
        <f t="shared" si="6"/>
        <v>0.87031784568993409</v>
      </c>
      <c r="H35">
        <f t="shared" si="7"/>
        <v>1.5665721222418811</v>
      </c>
      <c r="L35">
        <v>5</v>
      </c>
      <c r="M35">
        <f t="shared" si="8"/>
        <v>1.7999999999999998</v>
      </c>
      <c r="N35">
        <f t="shared" si="9"/>
        <v>0.91390503494936348</v>
      </c>
      <c r="O35">
        <f t="shared" si="10"/>
        <v>1.6450290629088542</v>
      </c>
    </row>
    <row r="36" spans="2:15" x14ac:dyDescent="0.45">
      <c r="E36">
        <v>6</v>
      </c>
      <c r="F36">
        <f t="shared" si="5"/>
        <v>1.7999999999999998</v>
      </c>
      <c r="G36">
        <f t="shared" si="6"/>
        <v>0.84647369490696733</v>
      </c>
      <c r="H36">
        <f t="shared" si="7"/>
        <v>1.523652650832541</v>
      </c>
      <c r="L36">
        <v>6</v>
      </c>
      <c r="M36">
        <f t="shared" si="8"/>
        <v>1.7999999999999998</v>
      </c>
      <c r="N36">
        <f t="shared" si="9"/>
        <v>0.89759677592607967</v>
      </c>
      <c r="O36">
        <f t="shared" si="10"/>
        <v>1.6156741966669432</v>
      </c>
    </row>
    <row r="37" spans="2:15" x14ac:dyDescent="0.45">
      <c r="B37" s="1"/>
      <c r="E37">
        <v>7</v>
      </c>
      <c r="F37">
        <f t="shared" si="5"/>
        <v>1.7999999999999998</v>
      </c>
      <c r="G37">
        <f t="shared" si="6"/>
        <v>0.82328280376859642</v>
      </c>
      <c r="H37">
        <f t="shared" si="7"/>
        <v>1.4819090467834735</v>
      </c>
      <c r="L37">
        <v>7</v>
      </c>
      <c r="M37">
        <f t="shared" si="8"/>
        <v>1.7999999999999998</v>
      </c>
      <c r="N37">
        <f t="shared" si="9"/>
        <v>0.88157953106969456</v>
      </c>
      <c r="O37">
        <f t="shared" si="10"/>
        <v>1.5868431559254501</v>
      </c>
    </row>
    <row r="38" spans="2:15" x14ac:dyDescent="0.45">
      <c r="B38" s="1"/>
      <c r="E38">
        <v>8</v>
      </c>
      <c r="F38">
        <f t="shared" si="5"/>
        <v>1.7999999999999998</v>
      </c>
      <c r="G38">
        <f t="shared" si="6"/>
        <v>0.80072727488073336</v>
      </c>
      <c r="H38">
        <f t="shared" si="7"/>
        <v>1.44130909478532</v>
      </c>
      <c r="L38">
        <v>8</v>
      </c>
      <c r="M38">
        <f t="shared" si="8"/>
        <v>1.7999999999999998</v>
      </c>
      <c r="N38">
        <f t="shared" si="9"/>
        <v>0.86584810735223328</v>
      </c>
      <c r="O38">
        <f t="shared" si="10"/>
        <v>1.5585265932340198</v>
      </c>
    </row>
    <row r="39" spans="2:15" x14ac:dyDescent="0.45">
      <c r="E39">
        <v>9</v>
      </c>
      <c r="F39">
        <f t="shared" si="5"/>
        <v>1.7999999999999998</v>
      </c>
      <c r="G39">
        <f t="shared" si="6"/>
        <v>0.7787897011852809</v>
      </c>
      <c r="H39">
        <f t="shared" si="7"/>
        <v>1.4018214621335054</v>
      </c>
      <c r="L39">
        <v>9</v>
      </c>
      <c r="M39">
        <f t="shared" si="8"/>
        <v>1.7999999999999998</v>
      </c>
      <c r="N39">
        <f t="shared" si="9"/>
        <v>0.85039740441316614</v>
      </c>
      <c r="O39">
        <f t="shared" si="10"/>
        <v>1.5307153279436989</v>
      </c>
    </row>
    <row r="40" spans="2:15" x14ac:dyDescent="0.45">
      <c r="E40">
        <v>10</v>
      </c>
      <c r="F40">
        <f t="shared" si="5"/>
        <v>1.7999999999999998</v>
      </c>
      <c r="G40">
        <f t="shared" si="6"/>
        <v>0.75745315252636802</v>
      </c>
      <c r="H40">
        <f t="shared" si="7"/>
        <v>1.3634156745474624</v>
      </c>
      <c r="L40">
        <v>10</v>
      </c>
      <c r="M40">
        <f t="shared" si="8"/>
        <v>1.7999999999999998</v>
      </c>
      <c r="N40">
        <f t="shared" si="9"/>
        <v>0.83522241290579724</v>
      </c>
      <c r="O40">
        <f t="shared" si="10"/>
        <v>1.5034003432304348</v>
      </c>
    </row>
    <row r="41" spans="2:15" x14ac:dyDescent="0.45">
      <c r="E41">
        <v>11</v>
      </c>
      <c r="F41">
        <f t="shared" si="5"/>
        <v>1.7999999999999998</v>
      </c>
      <c r="G41">
        <f t="shared" si="6"/>
        <v>0.73670116258463048</v>
      </c>
      <c r="H41">
        <f t="shared" si="7"/>
        <v>1.3260620926523348</v>
      </c>
      <c r="L41">
        <v>11</v>
      </c>
      <c r="M41">
        <f t="shared" si="8"/>
        <v>1.7999999999999998</v>
      </c>
      <c r="N41">
        <f t="shared" si="9"/>
        <v>0.82031821287315976</v>
      </c>
      <c r="O41">
        <f t="shared" si="10"/>
        <v>1.4765727831716875</v>
      </c>
    </row>
    <row r="42" spans="2:15" x14ac:dyDescent="0.45">
      <c r="E42">
        <v>12</v>
      </c>
      <c r="F42">
        <f t="shared" si="5"/>
        <v>1.7999999999999998</v>
      </c>
      <c r="G42">
        <f t="shared" si="6"/>
        <v>0.71651771616945359</v>
      </c>
      <c r="H42">
        <f t="shared" si="7"/>
        <v>1.2897318891050162</v>
      </c>
      <c r="L42">
        <v>12</v>
      </c>
      <c r="M42">
        <f t="shared" si="8"/>
        <v>1.7999999999999998</v>
      </c>
      <c r="N42">
        <f t="shared" si="9"/>
        <v>0.80567997215289266</v>
      </c>
      <c r="O42">
        <f t="shared" si="10"/>
        <v>1.4502239498752068</v>
      </c>
    </row>
    <row r="43" spans="2:15" x14ac:dyDescent="0.45">
      <c r="E43">
        <v>13</v>
      </c>
      <c r="F43">
        <f t="shared" si="5"/>
        <v>1.7999999999999998</v>
      </c>
      <c r="G43">
        <f t="shared" si="6"/>
        <v>0.69688723685937159</v>
      </c>
      <c r="H43">
        <f t="shared" si="7"/>
        <v>1.2543970263468687</v>
      </c>
      <c r="L43">
        <v>13</v>
      </c>
      <c r="M43">
        <f t="shared" si="8"/>
        <v>1.7999999999999998</v>
      </c>
      <c r="N43">
        <f t="shared" si="9"/>
        <v>0.79130294481058305</v>
      </c>
      <c r="O43">
        <f t="shared" si="10"/>
        <v>1.4243453006590494</v>
      </c>
    </row>
    <row r="44" spans="2:15" x14ac:dyDescent="0.45">
      <c r="E44">
        <v>14</v>
      </c>
      <c r="F44">
        <f>$G$2+$F$2</f>
        <v>101.8</v>
      </c>
      <c r="G44">
        <f t="shared" si="6"/>
        <v>0.67779457498108131</v>
      </c>
      <c r="H44">
        <f t="shared" si="7"/>
        <v>68.999487733074076</v>
      </c>
      <c r="L44">
        <v>14</v>
      </c>
      <c r="M44">
        <f>$G$2+$F$2</f>
        <v>101.8</v>
      </c>
      <c r="N44">
        <f t="shared" si="9"/>
        <v>0.77718246960106263</v>
      </c>
      <c r="O44">
        <f t="shared" si="10"/>
        <v>79.117175405388167</v>
      </c>
    </row>
    <row r="45" spans="2:15" x14ac:dyDescent="0.45">
      <c r="E45" s="23" t="s">
        <v>54</v>
      </c>
      <c r="F45" s="23">
        <f>SUM(F31:F44)</f>
        <v>125.2</v>
      </c>
      <c r="G45" s="23">
        <f>SUM(G31:G44)</f>
        <v>11.438378288970815</v>
      </c>
      <c r="H45" s="23">
        <f>SUM(H31:H44)</f>
        <v>88.368538418255596</v>
      </c>
      <c r="L45" s="23" t="s">
        <v>54</v>
      </c>
      <c r="M45" s="23">
        <f>SUM(M31:M44)</f>
        <v>125.2</v>
      </c>
      <c r="N45" s="23">
        <f>SUM(N31:N44)</f>
        <v>12.26374296731181</v>
      </c>
      <c r="O45" s="23">
        <f>SUM(O31:O44)</f>
        <v>99.792984301267509</v>
      </c>
    </row>
    <row r="66" spans="4:13" x14ac:dyDescent="0.45">
      <c r="K66" s="22"/>
      <c r="L66" s="22"/>
      <c r="M66" s="22"/>
    </row>
    <row r="73" spans="4:13" x14ac:dyDescent="0.45">
      <c r="D73" s="22"/>
    </row>
    <row r="82" spans="10:10" x14ac:dyDescent="0.45">
      <c r="J82" s="23"/>
    </row>
    <row r="127" spans="4:4" x14ac:dyDescent="0.45">
      <c r="D127" s="23"/>
    </row>
  </sheetData>
  <mergeCells count="1">
    <mergeCell ref="N1:O1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5215-00D8-4CE3-BD99-39429AD9CE6E}">
  <dimension ref="A1:Q53"/>
  <sheetViews>
    <sheetView zoomScale="85" zoomScaleNormal="85" workbookViewId="0">
      <selection activeCell="J32" sqref="J32:M53"/>
    </sheetView>
  </sheetViews>
  <sheetFormatPr defaultRowHeight="14.25" x14ac:dyDescent="0.45"/>
  <cols>
    <col min="1" max="1" width="32.265625" bestFit="1" customWidth="1"/>
    <col min="2" max="2" width="14.86328125" bestFit="1" customWidth="1"/>
    <col min="3" max="3" width="19.59765625" bestFit="1" customWidth="1"/>
    <col min="4" max="4" width="14.1328125" bestFit="1" customWidth="1"/>
    <col min="5" max="5" width="16.265625" bestFit="1" customWidth="1"/>
    <col min="6" max="6" width="21.265625" bestFit="1" customWidth="1"/>
    <col min="7" max="7" width="17.73046875" customWidth="1"/>
    <col min="8" max="8" width="14.265625" bestFit="1" customWidth="1"/>
    <col min="9" max="9" width="14.73046875" bestFit="1" customWidth="1"/>
    <col min="10" max="10" width="9.53125" bestFit="1" customWidth="1"/>
    <col min="11" max="11" width="12.265625" customWidth="1"/>
    <col min="12" max="12" width="15.265625" bestFit="1" customWidth="1"/>
    <col min="13" max="13" width="21" bestFit="1" customWidth="1"/>
    <col min="14" max="14" width="10.59765625" bestFit="1" customWidth="1"/>
    <col min="15" max="15" width="12.1328125" customWidth="1"/>
    <col min="16" max="16" width="11.59765625" bestFit="1" customWidth="1"/>
    <col min="17" max="17" width="10.59765625" bestFit="1" customWidth="1"/>
  </cols>
  <sheetData>
    <row r="1" spans="1:1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7" t="s">
        <v>13</v>
      </c>
      <c r="O1" s="47"/>
      <c r="P1" s="47" t="s">
        <v>101</v>
      </c>
      <c r="Q1" s="47"/>
    </row>
    <row r="2" spans="1:17" x14ac:dyDescent="0.45">
      <c r="A2" s="4" t="s">
        <v>142</v>
      </c>
      <c r="B2" s="4" t="s">
        <v>102</v>
      </c>
      <c r="C2" s="4" t="s">
        <v>103</v>
      </c>
      <c r="D2" s="5">
        <v>45767</v>
      </c>
      <c r="E2" s="4">
        <v>10</v>
      </c>
      <c r="F2" s="4">
        <v>100</v>
      </c>
      <c r="G2" s="4">
        <f>F2*L5/2</f>
        <v>1.7500000000000002</v>
      </c>
      <c r="H2" s="4">
        <f>E2*2</f>
        <v>20</v>
      </c>
      <c r="I2" s="6">
        <f>N5/2</f>
        <v>2.2617320496675281E-2</v>
      </c>
      <c r="J2" s="4">
        <v>-91.84</v>
      </c>
      <c r="K2" s="4">
        <f>DAYS360(M2,D2,0)</f>
        <v>68</v>
      </c>
      <c r="L2" s="5">
        <v>42228</v>
      </c>
      <c r="M2" s="5">
        <v>45700</v>
      </c>
      <c r="N2" s="52" t="s">
        <v>104</v>
      </c>
      <c r="O2" s="53" t="s">
        <v>141</v>
      </c>
      <c r="P2" s="54">
        <v>45700</v>
      </c>
      <c r="Q2" s="54">
        <v>45881</v>
      </c>
    </row>
    <row r="3" spans="1:17" ht="14.65" thickBot="1" x14ac:dyDescent="0.5">
      <c r="A3" s="14"/>
      <c r="B3" s="14"/>
      <c r="C3" s="14"/>
      <c r="D3" s="15"/>
      <c r="E3" s="14"/>
      <c r="F3" s="14"/>
      <c r="G3" s="14"/>
      <c r="H3" s="14"/>
      <c r="I3" s="16"/>
      <c r="J3" s="14"/>
      <c r="K3" s="14"/>
      <c r="L3" s="15"/>
      <c r="M3" s="15"/>
      <c r="N3" s="14"/>
      <c r="O3" s="14"/>
      <c r="P3" s="1"/>
      <c r="Q3" s="1"/>
    </row>
    <row r="4" spans="1:17" x14ac:dyDescent="0.45">
      <c r="A4" s="7" t="s">
        <v>0</v>
      </c>
      <c r="B4" s="8" t="s">
        <v>1</v>
      </c>
      <c r="C4" s="8" t="s">
        <v>2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62" t="s">
        <v>27</v>
      </c>
      <c r="N4" s="58" t="s">
        <v>28</v>
      </c>
      <c r="O4" s="58" t="s">
        <v>143</v>
      </c>
    </row>
    <row r="5" spans="1:17" ht="14.65" thickBot="1" x14ac:dyDescent="0.5">
      <c r="A5" s="9" t="str">
        <f>A2</f>
        <v>Microsoft 3.5% 02/35</v>
      </c>
      <c r="B5" s="10" t="str">
        <f>B2</f>
        <v>594918BC7</v>
      </c>
      <c r="C5" s="10" t="str">
        <f>C2</f>
        <v>MICROSOFT CORP</v>
      </c>
      <c r="D5" s="10" t="s">
        <v>106</v>
      </c>
      <c r="E5" s="55">
        <v>1500</v>
      </c>
      <c r="F5" s="55">
        <v>1500</v>
      </c>
      <c r="G5" s="11">
        <v>42047</v>
      </c>
      <c r="H5" s="11">
        <v>49352</v>
      </c>
      <c r="I5" s="10" t="s">
        <v>29</v>
      </c>
      <c r="J5" s="11">
        <v>49168</v>
      </c>
      <c r="K5" s="10">
        <v>100</v>
      </c>
      <c r="L5" s="12">
        <v>3.5000000000000003E-2</v>
      </c>
      <c r="M5" s="63" t="s">
        <v>30</v>
      </c>
      <c r="N5" s="64">
        <f>B16</f>
        <v>4.5234640993350561E-2</v>
      </c>
      <c r="O5" s="56">
        <f>B30</f>
        <v>4.5866491653041512E-2</v>
      </c>
    </row>
    <row r="8" spans="1:17" x14ac:dyDescent="0.45">
      <c r="A8" t="s">
        <v>178</v>
      </c>
      <c r="B8" t="s">
        <v>145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K8" s="27"/>
      <c r="L8" s="27"/>
    </row>
    <row r="9" spans="1:17" x14ac:dyDescent="0.45">
      <c r="A9" s="13" t="s">
        <v>38</v>
      </c>
      <c r="B9">
        <f>J2</f>
        <v>-91.84</v>
      </c>
      <c r="C9" s="19"/>
      <c r="D9">
        <v>1</v>
      </c>
      <c r="E9" s="18">
        <f>$G$2</f>
        <v>1.7500000000000002</v>
      </c>
      <c r="F9">
        <f>(1+$B$17)^-D9</f>
        <v>0.9778829088424883</v>
      </c>
      <c r="G9" s="18">
        <f>E9*F9</f>
        <v>1.7112950904743547</v>
      </c>
      <c r="H9">
        <f>D9*G9</f>
        <v>1.7112950904743547</v>
      </c>
      <c r="I9">
        <f>D9*(D9+1)*G9</f>
        <v>3.4225901809487094</v>
      </c>
      <c r="M9" s="18"/>
      <c r="N9" s="18"/>
      <c r="O9" s="20"/>
    </row>
    <row r="10" spans="1:17" x14ac:dyDescent="0.45">
      <c r="A10" s="13" t="s">
        <v>39</v>
      </c>
      <c r="B10">
        <f>K2</f>
        <v>68</v>
      </c>
      <c r="D10">
        <v>2</v>
      </c>
      <c r="E10" s="18">
        <f t="shared" ref="E10:E23" si="0">$G$2</f>
        <v>1.7500000000000002</v>
      </c>
      <c r="F10">
        <f t="shared" ref="F10:F24" si="1">(1+$B$17)^-D10</f>
        <v>0.95625498340624637</v>
      </c>
      <c r="G10" s="18">
        <f t="shared" ref="G10:G24" si="2">E10*F10</f>
        <v>1.6734462209609313</v>
      </c>
      <c r="H10">
        <f t="shared" ref="H10:H24" si="3">D10*G10</f>
        <v>3.3468924419218626</v>
      </c>
      <c r="I10">
        <f t="shared" ref="I10:I24" si="4">D10*(D10+1)*G10</f>
        <v>10.040677325765587</v>
      </c>
      <c r="M10" s="18"/>
      <c r="N10" s="18"/>
      <c r="O10" s="20"/>
    </row>
    <row r="11" spans="1:17" x14ac:dyDescent="0.45">
      <c r="A11" t="s">
        <v>40</v>
      </c>
      <c r="B11">
        <f>DAYS360(P2,Q2,0)</f>
        <v>180</v>
      </c>
      <c r="D11">
        <v>3</v>
      </c>
      <c r="E11" s="18">
        <f t="shared" si="0"/>
        <v>1.7500000000000002</v>
      </c>
      <c r="F11">
        <f t="shared" si="1"/>
        <v>0.93510540476842563</v>
      </c>
      <c r="G11" s="18">
        <f t="shared" si="2"/>
        <v>1.636434458344745</v>
      </c>
      <c r="H11">
        <f t="shared" si="3"/>
        <v>4.9093033750342352</v>
      </c>
      <c r="I11">
        <f t="shared" si="4"/>
        <v>19.637213500136941</v>
      </c>
      <c r="M11" s="18"/>
      <c r="N11" s="18"/>
      <c r="O11" s="20"/>
    </row>
    <row r="12" spans="1:17" x14ac:dyDescent="0.45">
      <c r="A12" t="s">
        <v>41</v>
      </c>
      <c r="B12">
        <f>L5</f>
        <v>3.5000000000000003E-2</v>
      </c>
      <c r="D12">
        <v>4</v>
      </c>
      <c r="E12" s="18">
        <f t="shared" si="0"/>
        <v>1.7500000000000002</v>
      </c>
      <c r="F12">
        <f t="shared" si="1"/>
        <v>0.91442359328928047</v>
      </c>
      <c r="G12" s="18">
        <f t="shared" si="2"/>
        <v>1.6002412882562411</v>
      </c>
      <c r="H12">
        <f t="shared" si="3"/>
        <v>6.4009651530249645</v>
      </c>
      <c r="I12">
        <f t="shared" si="4"/>
        <v>32.004825765124821</v>
      </c>
      <c r="M12" s="18"/>
      <c r="N12" s="18"/>
      <c r="O12" s="20"/>
    </row>
    <row r="13" spans="1:17" x14ac:dyDescent="0.45">
      <c r="A13" t="s">
        <v>42</v>
      </c>
      <c r="B13" s="18">
        <f>G2</f>
        <v>1.7500000000000002</v>
      </c>
      <c r="D13">
        <v>5</v>
      </c>
      <c r="E13" s="18">
        <f t="shared" si="0"/>
        <v>1.7500000000000002</v>
      </c>
      <c r="F13">
        <f t="shared" si="1"/>
        <v>0.8941992033199222</v>
      </c>
      <c r="G13" s="18">
        <f t="shared" si="2"/>
        <v>1.5648486058098641</v>
      </c>
      <c r="H13">
        <f t="shared" si="3"/>
        <v>7.8242430290493203</v>
      </c>
      <c r="I13">
        <f t="shared" si="4"/>
        <v>46.945458174295922</v>
      </c>
      <c r="M13" s="18"/>
      <c r="N13" s="18"/>
      <c r="O13" s="20"/>
    </row>
    <row r="14" spans="1:17" x14ac:dyDescent="0.45">
      <c r="A14" t="s">
        <v>43</v>
      </c>
      <c r="B14">
        <f>(B10/B11)*B13</f>
        <v>0.6611111111111112</v>
      </c>
      <c r="C14" s="25"/>
      <c r="D14">
        <v>6</v>
      </c>
      <c r="E14" s="18">
        <f t="shared" si="0"/>
        <v>1.7500000000000002</v>
      </c>
      <c r="F14">
        <f t="shared" si="1"/>
        <v>0.87442211802712111</v>
      </c>
      <c r="G14" s="18">
        <f t="shared" si="2"/>
        <v>1.5302387065474621</v>
      </c>
      <c r="H14">
        <f t="shared" si="3"/>
        <v>9.1814322392847725</v>
      </c>
      <c r="I14">
        <f t="shared" si="4"/>
        <v>64.270025674993406</v>
      </c>
      <c r="M14" s="18"/>
      <c r="N14" s="18"/>
      <c r="O14" s="20"/>
    </row>
    <row r="15" spans="1:17" x14ac:dyDescent="0.45">
      <c r="A15" t="s">
        <v>44</v>
      </c>
      <c r="B15" s="17">
        <f>B14-B9</f>
        <v>92.501111111111115</v>
      </c>
      <c r="D15">
        <v>7</v>
      </c>
      <c r="E15" s="18">
        <f t="shared" si="0"/>
        <v>1.7500000000000002</v>
      </c>
      <c r="F15">
        <f t="shared" si="1"/>
        <v>0.85508244433257097</v>
      </c>
      <c r="G15" s="18">
        <f t="shared" si="2"/>
        <v>1.4963942775819994</v>
      </c>
      <c r="H15">
        <f t="shared" si="3"/>
        <v>10.474759943073996</v>
      </c>
      <c r="I15">
        <f t="shared" si="4"/>
        <v>83.798079544591971</v>
      </c>
      <c r="M15" s="18"/>
      <c r="N15" s="18"/>
      <c r="O15" s="20"/>
    </row>
    <row r="16" spans="1:17" x14ac:dyDescent="0.45">
      <c r="A16" t="s">
        <v>45</v>
      </c>
      <c r="B16" s="21">
        <f>RATE(H2,G2,J2,F2,0)*2</f>
        <v>4.5234640993350561E-2</v>
      </c>
      <c r="D16">
        <v>8</v>
      </c>
      <c r="E16" s="18">
        <f t="shared" si="0"/>
        <v>1.7500000000000002</v>
      </c>
      <c r="F16">
        <f t="shared" si="1"/>
        <v>0.83617050796407943</v>
      </c>
      <c r="G16" s="18">
        <f t="shared" si="2"/>
        <v>1.4632983889371391</v>
      </c>
      <c r="H16">
        <f t="shared" si="3"/>
        <v>11.706387111497113</v>
      </c>
      <c r="I16">
        <f t="shared" si="4"/>
        <v>105.35748400347401</v>
      </c>
      <c r="M16" s="18"/>
      <c r="N16" s="18"/>
      <c r="O16" s="20"/>
    </row>
    <row r="17" spans="1:17" x14ac:dyDescent="0.45">
      <c r="A17" t="s">
        <v>46</v>
      </c>
      <c r="B17" s="21">
        <f>B16/2</f>
        <v>2.2617320496675281E-2</v>
      </c>
      <c r="D17">
        <v>9</v>
      </c>
      <c r="E17" s="18">
        <f t="shared" si="0"/>
        <v>1.7500000000000002</v>
      </c>
      <c r="F17">
        <f t="shared" si="1"/>
        <v>0.81767684861621515</v>
      </c>
      <c r="G17" s="18">
        <f t="shared" si="2"/>
        <v>1.4309344850783767</v>
      </c>
      <c r="H17">
        <f t="shared" si="3"/>
        <v>12.87841036570539</v>
      </c>
      <c r="I17">
        <f t="shared" si="4"/>
        <v>128.78410365705392</v>
      </c>
      <c r="M17" s="18"/>
      <c r="N17" s="18"/>
      <c r="O17" s="20"/>
    </row>
    <row r="18" spans="1:17" x14ac:dyDescent="0.45">
      <c r="A18" t="s">
        <v>47</v>
      </c>
      <c r="B18">
        <f>H29/G29</f>
        <v>16.888259079757447</v>
      </c>
      <c r="D18">
        <v>10</v>
      </c>
      <c r="E18" s="18">
        <f t="shared" si="0"/>
        <v>1.7500000000000002</v>
      </c>
      <c r="F18">
        <f t="shared" si="1"/>
        <v>0.7995922152179834</v>
      </c>
      <c r="G18" s="18">
        <f t="shared" si="2"/>
        <v>1.3992863766314712</v>
      </c>
      <c r="H18">
        <f t="shared" si="3"/>
        <v>13.992863766314711</v>
      </c>
      <c r="I18">
        <f t="shared" si="4"/>
        <v>153.92150142946181</v>
      </c>
      <c r="M18" s="18"/>
      <c r="N18" s="18"/>
      <c r="O18" s="20"/>
    </row>
    <row r="19" spans="1:17" x14ac:dyDescent="0.45">
      <c r="A19" t="s">
        <v>48</v>
      </c>
      <c r="B19">
        <f>B18/(1+B17)</f>
        <v>16.514739914198778</v>
      </c>
      <c r="D19">
        <v>11</v>
      </c>
      <c r="E19" s="18">
        <f t="shared" si="0"/>
        <v>1.7500000000000002</v>
      </c>
      <c r="F19">
        <f t="shared" si="1"/>
        <v>0.78190756130517058</v>
      </c>
      <c r="G19" s="18">
        <f t="shared" si="2"/>
        <v>1.3683382322840487</v>
      </c>
      <c r="H19">
        <f t="shared" si="3"/>
        <v>15.051720555124536</v>
      </c>
      <c r="I19">
        <f t="shared" si="4"/>
        <v>180.62064666149442</v>
      </c>
      <c r="M19" s="18"/>
      <c r="N19" s="18"/>
      <c r="O19" s="20"/>
    </row>
    <row r="20" spans="1:17" x14ac:dyDescent="0.45">
      <c r="A20" t="s">
        <v>49</v>
      </c>
      <c r="B20">
        <f>I29/(B15*(1+B17)^2)</f>
        <v>317.38071974255354</v>
      </c>
      <c r="D20">
        <v>12</v>
      </c>
      <c r="E20" s="18">
        <f t="shared" si="0"/>
        <v>1.7500000000000002</v>
      </c>
      <c r="F20">
        <f t="shared" si="1"/>
        <v>0.76461404049503645</v>
      </c>
      <c r="G20" s="18">
        <f t="shared" si="2"/>
        <v>1.338074570866314</v>
      </c>
      <c r="H20">
        <f t="shared" si="3"/>
        <v>16.056894850395768</v>
      </c>
      <c r="I20">
        <f t="shared" si="4"/>
        <v>208.73963305514499</v>
      </c>
      <c r="M20" s="18"/>
      <c r="N20" s="18"/>
      <c r="O20" s="20"/>
    </row>
    <row r="21" spans="1:17" x14ac:dyDescent="0.45">
      <c r="A21" t="s">
        <v>50</v>
      </c>
      <c r="B21">
        <v>100</v>
      </c>
      <c r="D21">
        <v>13</v>
      </c>
      <c r="E21" s="18">
        <f t="shared" si="0"/>
        <v>1.7500000000000002</v>
      </c>
      <c r="F21">
        <f t="shared" si="1"/>
        <v>0.74770300206109452</v>
      </c>
      <c r="G21" s="18">
        <f t="shared" si="2"/>
        <v>1.3084802536069156</v>
      </c>
      <c r="H21">
        <f t="shared" si="3"/>
        <v>17.010243296889904</v>
      </c>
      <c r="I21">
        <f t="shared" si="4"/>
        <v>238.14340615645864</v>
      </c>
      <c r="M21" s="18"/>
      <c r="N21" s="18"/>
      <c r="O21" s="20"/>
    </row>
    <row r="22" spans="1:17" x14ac:dyDescent="0.45">
      <c r="A22" t="s">
        <v>51</v>
      </c>
      <c r="B22">
        <f>B21/10000</f>
        <v>0.01</v>
      </c>
      <c r="D22">
        <v>14</v>
      </c>
      <c r="E22" s="18">
        <f t="shared" si="0"/>
        <v>1.7500000000000002</v>
      </c>
      <c r="F22">
        <f t="shared" si="1"/>
        <v>0.73116598660576415</v>
      </c>
      <c r="G22" s="18">
        <f t="shared" si="2"/>
        <v>1.2795404765600875</v>
      </c>
      <c r="H22">
        <f t="shared" si="3"/>
        <v>17.913566671841224</v>
      </c>
      <c r="I22">
        <f t="shared" si="4"/>
        <v>268.7035000776184</v>
      </c>
      <c r="M22" s="18"/>
      <c r="N22" s="18"/>
      <c r="O22" s="20"/>
    </row>
    <row r="23" spans="1:17" x14ac:dyDescent="0.45">
      <c r="A23" t="s">
        <v>57</v>
      </c>
      <c r="B23" s="21">
        <f>N5+0.01</f>
        <v>5.5234640993350563E-2</v>
      </c>
      <c r="D23">
        <v>15</v>
      </c>
      <c r="E23" s="18">
        <f t="shared" si="0"/>
        <v>1.7500000000000002</v>
      </c>
      <c r="F23">
        <f t="shared" si="1"/>
        <v>0.71499472182873247</v>
      </c>
      <c r="G23" s="18">
        <f t="shared" si="2"/>
        <v>1.251240763200282</v>
      </c>
      <c r="H23">
        <f t="shared" si="3"/>
        <v>18.768611448004229</v>
      </c>
      <c r="I23">
        <f t="shared" si="4"/>
        <v>300.29778316806767</v>
      </c>
      <c r="M23" s="18"/>
      <c r="N23" s="18"/>
      <c r="O23" s="20"/>
    </row>
    <row r="24" spans="1:17" x14ac:dyDescent="0.45">
      <c r="A24" t="s">
        <v>63</v>
      </c>
      <c r="B24" s="21">
        <f>N5-0.01</f>
        <v>3.5234640993350559E-2</v>
      </c>
      <c r="D24">
        <v>16</v>
      </c>
      <c r="E24" s="18">
        <f>$G$2</f>
        <v>1.7500000000000002</v>
      </c>
      <c r="F24">
        <f t="shared" si="1"/>
        <v>0.69918111838890673</v>
      </c>
      <c r="G24" s="18">
        <f t="shared" si="2"/>
        <v>1.2235669571805869</v>
      </c>
      <c r="H24">
        <f t="shared" si="3"/>
        <v>19.577071314889391</v>
      </c>
      <c r="I24">
        <f t="shared" si="4"/>
        <v>332.81021235311965</v>
      </c>
      <c r="M24" s="18"/>
      <c r="N24" s="18"/>
      <c r="O24" s="20"/>
    </row>
    <row r="25" spans="1:17" x14ac:dyDescent="0.45">
      <c r="A25" t="s">
        <v>64</v>
      </c>
      <c r="B25" s="21">
        <f>B23/2</f>
        <v>2.7617320496675282E-2</v>
      </c>
      <c r="D25">
        <v>17</v>
      </c>
      <c r="E25" s="18">
        <f t="shared" ref="E25:E27" si="5">$G$2</f>
        <v>1.7500000000000002</v>
      </c>
      <c r="F25">
        <f t="shared" ref="F25:F28" si="6">(1+$B$17)^-D25</f>
        <v>0.68371726585788817</v>
      </c>
      <c r="G25" s="18">
        <f t="shared" ref="G25:G28" si="7">E25*F25</f>
        <v>1.1965052152513045</v>
      </c>
      <c r="H25">
        <f t="shared" ref="H25:H28" si="8">D25*G25</f>
        <v>20.340588659272175</v>
      </c>
      <c r="I25">
        <f t="shared" ref="I25:I28" si="9">D25*(D25+1)*G25</f>
        <v>366.13059586689917</v>
      </c>
      <c r="L25" s="23"/>
      <c r="M25" s="18"/>
      <c r="N25" s="18"/>
      <c r="O25" s="18"/>
      <c r="Q25" s="18"/>
    </row>
    <row r="26" spans="1:17" x14ac:dyDescent="0.45">
      <c r="A26" t="s">
        <v>65</v>
      </c>
      <c r="B26" s="21">
        <f>B24/2</f>
        <v>1.761732049667528E-2</v>
      </c>
      <c r="D26">
        <v>18</v>
      </c>
      <c r="E26" s="18">
        <f t="shared" si="5"/>
        <v>1.7500000000000002</v>
      </c>
      <c r="F26">
        <f t="shared" si="6"/>
        <v>0.66859542876294475</v>
      </c>
      <c r="G26" s="18">
        <f t="shared" si="7"/>
        <v>1.1700420003351535</v>
      </c>
      <c r="H26">
        <f t="shared" si="8"/>
        <v>21.060756006032761</v>
      </c>
      <c r="I26">
        <f t="shared" si="9"/>
        <v>400.15436411462247</v>
      </c>
    </row>
    <row r="27" spans="1:17" x14ac:dyDescent="0.45">
      <c r="A27" t="s">
        <v>66</v>
      </c>
      <c r="B27">
        <f>G53</f>
        <v>84.610978580573985</v>
      </c>
      <c r="D27">
        <v>19</v>
      </c>
      <c r="E27" s="18">
        <f t="shared" si="5"/>
        <v>1.7500000000000002</v>
      </c>
      <c r="F27">
        <f t="shared" si="6"/>
        <v>0.65380804271749915</v>
      </c>
      <c r="G27" s="18">
        <f t="shared" si="7"/>
        <v>1.1441640747556237</v>
      </c>
      <c r="H27">
        <f t="shared" si="8"/>
        <v>21.739117420356848</v>
      </c>
      <c r="I27">
        <f t="shared" si="9"/>
        <v>434.78234840713696</v>
      </c>
    </row>
    <row r="28" spans="1:17" x14ac:dyDescent="0.45">
      <c r="A28" t="s">
        <v>67</v>
      </c>
      <c r="B28">
        <f>M53</f>
        <v>99.803679086978377</v>
      </c>
      <c r="D28">
        <v>20</v>
      </c>
      <c r="E28" s="18">
        <f>$G$2+F2</f>
        <v>101.75</v>
      </c>
      <c r="F28">
        <f t="shared" si="6"/>
        <v>0.63934771063720186</v>
      </c>
      <c r="G28" s="18">
        <f t="shared" si="7"/>
        <v>65.053629557335285</v>
      </c>
      <c r="H28">
        <f t="shared" si="8"/>
        <v>1301.0725911467057</v>
      </c>
      <c r="I28">
        <f t="shared" si="9"/>
        <v>27322.524414080821</v>
      </c>
    </row>
    <row r="29" spans="1:17" x14ac:dyDescent="0.45">
      <c r="A29" t="s">
        <v>80</v>
      </c>
      <c r="B29" s="45">
        <f>DAYS360(D2,J5,0)/360*2</f>
        <v>18.622222222222224</v>
      </c>
      <c r="D29" s="23" t="s">
        <v>54</v>
      </c>
      <c r="E29" s="24">
        <f>SUM(E9:E28)</f>
        <v>135</v>
      </c>
      <c r="F29" s="24">
        <f t="shared" ref="F29:I29" si="10">SUM(F9:F28)</f>
        <v>15.945845106444571</v>
      </c>
      <c r="G29" s="24">
        <f t="shared" si="10"/>
        <v>91.839999999998184</v>
      </c>
      <c r="H29" s="24">
        <f t="shared" si="10"/>
        <v>1551.0177138848933</v>
      </c>
      <c r="I29" s="24">
        <f t="shared" si="10"/>
        <v>30701.08886319723</v>
      </c>
    </row>
    <row r="30" spans="1:17" x14ac:dyDescent="0.45">
      <c r="A30" t="s">
        <v>81</v>
      </c>
      <c r="B30" s="42">
        <f>RATE(B29,G2,J2,K5)*2</f>
        <v>4.5866491653041512E-2</v>
      </c>
    </row>
    <row r="31" spans="1:17" x14ac:dyDescent="0.45">
      <c r="D31" s="22" t="s">
        <v>55</v>
      </c>
      <c r="E31" s="22"/>
      <c r="F31" s="22"/>
      <c r="G31" s="22"/>
      <c r="J31" s="22" t="s">
        <v>56</v>
      </c>
      <c r="K31" s="22"/>
      <c r="L31" s="22"/>
      <c r="M31" s="22"/>
    </row>
    <row r="32" spans="1:17" x14ac:dyDescent="0.45">
      <c r="D32" t="s">
        <v>32</v>
      </c>
      <c r="E32" t="s">
        <v>58</v>
      </c>
      <c r="F32" t="s">
        <v>59</v>
      </c>
      <c r="G32" t="s">
        <v>60</v>
      </c>
      <c r="J32" t="s">
        <v>32</v>
      </c>
      <c r="K32" t="s">
        <v>58</v>
      </c>
      <c r="L32" t="s">
        <v>61</v>
      </c>
      <c r="M32" t="s">
        <v>62</v>
      </c>
    </row>
    <row r="33" spans="4:13" x14ac:dyDescent="0.45">
      <c r="D33">
        <v>1</v>
      </c>
      <c r="E33">
        <f>$G$2</f>
        <v>1.7500000000000002</v>
      </c>
      <c r="F33">
        <f t="shared" ref="F33:F52" si="11">1/(1+$B$25)^D33</f>
        <v>0.97312489781378242</v>
      </c>
      <c r="G33">
        <f>E33*F33</f>
        <v>1.7029685711741194</v>
      </c>
      <c r="J33">
        <v>1</v>
      </c>
      <c r="K33">
        <f>$G$2</f>
        <v>1.7500000000000002</v>
      </c>
      <c r="L33">
        <f t="shared" ref="L33:L52" si="12">1/(1+$B$26)^J33</f>
        <v>0.9826876762592085</v>
      </c>
      <c r="M33">
        <f>K33*L33</f>
        <v>1.719703433453615</v>
      </c>
    </row>
    <row r="34" spans="4:13" x14ac:dyDescent="0.45">
      <c r="D34">
        <v>2</v>
      </c>
      <c r="E34">
        <f t="shared" ref="E34:E47" si="13">$G$2</f>
        <v>1.7500000000000002</v>
      </c>
      <c r="F34">
        <f t="shared" si="11"/>
        <v>0.9469720667450845</v>
      </c>
      <c r="G34">
        <f t="shared" ref="G34:G48" si="14">E34*F34</f>
        <v>1.657201116803898</v>
      </c>
      <c r="J34">
        <v>2</v>
      </c>
      <c r="K34">
        <f t="shared" ref="K34:K51" si="15">$G$2</f>
        <v>1.7500000000000002</v>
      </c>
      <c r="L34">
        <f t="shared" si="12"/>
        <v>0.96567506907172296</v>
      </c>
      <c r="M34">
        <f t="shared" ref="M34:M48" si="16">K34*L34</f>
        <v>1.6899313708755155</v>
      </c>
    </row>
    <row r="35" spans="4:13" x14ac:dyDescent="0.45">
      <c r="D35">
        <v>3</v>
      </c>
      <c r="E35">
        <f t="shared" si="13"/>
        <v>1.7500000000000002</v>
      </c>
      <c r="F35">
        <f t="shared" si="11"/>
        <v>0.92152209568381671</v>
      </c>
      <c r="G35">
        <f t="shared" si="14"/>
        <v>1.6126636674466794</v>
      </c>
      <c r="J35">
        <v>3</v>
      </c>
      <c r="K35">
        <f t="shared" si="15"/>
        <v>1.7500000000000002</v>
      </c>
      <c r="L35">
        <f t="shared" si="12"/>
        <v>0.94895698964754205</v>
      </c>
      <c r="M35">
        <f t="shared" si="16"/>
        <v>1.6606747318831987</v>
      </c>
    </row>
    <row r="36" spans="4:13" x14ac:dyDescent="0.45">
      <c r="D36">
        <v>4</v>
      </c>
      <c r="E36">
        <f t="shared" si="13"/>
        <v>1.7500000000000002</v>
      </c>
      <c r="F36">
        <f t="shared" si="11"/>
        <v>0.89675609519545674</v>
      </c>
      <c r="G36">
        <f t="shared" si="14"/>
        <v>1.5693231665920495</v>
      </c>
      <c r="J36">
        <v>4</v>
      </c>
      <c r="K36">
        <f t="shared" si="15"/>
        <v>1.7500000000000002</v>
      </c>
      <c r="L36">
        <f t="shared" si="12"/>
        <v>0.93252833902667709</v>
      </c>
      <c r="M36">
        <f t="shared" si="16"/>
        <v>1.631924593296685</v>
      </c>
    </row>
    <row r="37" spans="4:13" x14ac:dyDescent="0.45">
      <c r="D37">
        <v>5</v>
      </c>
      <c r="E37">
        <f t="shared" si="13"/>
        <v>1.7500000000000002</v>
      </c>
      <c r="F37">
        <f t="shared" si="11"/>
        <v>0.87265568350096534</v>
      </c>
      <c r="G37">
        <f t="shared" si="14"/>
        <v>1.5271474461266896</v>
      </c>
      <c r="J37">
        <v>5</v>
      </c>
      <c r="K37">
        <f t="shared" si="15"/>
        <v>1.7500000000000002</v>
      </c>
      <c r="L37">
        <f t="shared" si="12"/>
        <v>0.91638410652398472</v>
      </c>
      <c r="M37">
        <f t="shared" si="16"/>
        <v>1.6036721864169734</v>
      </c>
    </row>
    <row r="38" spans="4:13" x14ac:dyDescent="0.45">
      <c r="D38">
        <v>6</v>
      </c>
      <c r="E38">
        <f t="shared" si="13"/>
        <v>1.7500000000000002</v>
      </c>
      <c r="F38">
        <f t="shared" si="11"/>
        <v>0.84920297283349333</v>
      </c>
      <c r="G38">
        <f t="shared" si="14"/>
        <v>1.4861052024586134</v>
      </c>
      <c r="J38">
        <v>6</v>
      </c>
      <c r="K38">
        <f t="shared" si="15"/>
        <v>1.7500000000000002</v>
      </c>
      <c r="L38">
        <f t="shared" si="12"/>
        <v>0.90051936820092549</v>
      </c>
      <c r="M38">
        <f t="shared" si="16"/>
        <v>1.5759088943516197</v>
      </c>
    </row>
    <row r="39" spans="4:13" x14ac:dyDescent="0.45">
      <c r="D39">
        <v>7</v>
      </c>
      <c r="E39">
        <f t="shared" si="13"/>
        <v>1.7500000000000002</v>
      </c>
      <c r="F39">
        <f t="shared" si="11"/>
        <v>0.82638055616175343</v>
      </c>
      <c r="G39">
        <f t="shared" si="14"/>
        <v>1.4461659732830687</v>
      </c>
      <c r="J39">
        <v>7</v>
      </c>
      <c r="K39">
        <f t="shared" si="15"/>
        <v>1.7500000000000002</v>
      </c>
      <c r="L39">
        <f t="shared" si="12"/>
        <v>0.88492928536377802</v>
      </c>
      <c r="M39">
        <f t="shared" si="16"/>
        <v>1.5486262493866116</v>
      </c>
    </row>
    <row r="40" spans="4:13" x14ac:dyDescent="0.45">
      <c r="D40">
        <v>8</v>
      </c>
      <c r="E40">
        <f t="shared" si="13"/>
        <v>1.7500000000000002</v>
      </c>
      <c r="F40">
        <f t="shared" si="11"/>
        <v>0.80417149427020307</v>
      </c>
      <c r="G40">
        <f t="shared" si="14"/>
        <v>1.4073001149728555</v>
      </c>
      <c r="J40">
        <v>8</v>
      </c>
      <c r="K40">
        <f t="shared" si="15"/>
        <v>1.7500000000000002</v>
      </c>
      <c r="L40">
        <f t="shared" si="12"/>
        <v>0.86960910308785322</v>
      </c>
      <c r="M40">
        <f t="shared" si="16"/>
        <v>1.5218159304037433</v>
      </c>
    </row>
    <row r="41" spans="4:13" x14ac:dyDescent="0.45">
      <c r="D41">
        <v>9</v>
      </c>
      <c r="E41">
        <f t="shared" si="13"/>
        <v>1.7500000000000002</v>
      </c>
      <c r="F41">
        <f t="shared" si="11"/>
        <v>0.78255930318644817</v>
      </c>
      <c r="G41">
        <f t="shared" si="14"/>
        <v>1.3694787805762845</v>
      </c>
      <c r="J41">
        <v>9</v>
      </c>
      <c r="K41">
        <f t="shared" si="15"/>
        <v>1.7500000000000002</v>
      </c>
      <c r="L41">
        <f t="shared" si="12"/>
        <v>0.85455414876725699</v>
      </c>
      <c r="M41">
        <f t="shared" si="16"/>
        <v>1.4954697603426998</v>
      </c>
    </row>
    <row r="42" spans="4:13" x14ac:dyDescent="0.45">
      <c r="D42">
        <v>10</v>
      </c>
      <c r="E42">
        <f t="shared" si="13"/>
        <v>1.7500000000000002</v>
      </c>
      <c r="F42">
        <f t="shared" si="11"/>
        <v>0.76152794194653706</v>
      </c>
      <c r="G42">
        <f t="shared" si="14"/>
        <v>1.3326738984064401</v>
      </c>
      <c r="J42">
        <v>10</v>
      </c>
      <c r="K42">
        <f t="shared" si="15"/>
        <v>1.7500000000000002</v>
      </c>
      <c r="L42">
        <f t="shared" si="12"/>
        <v>0.83975983068976179</v>
      </c>
      <c r="M42">
        <f t="shared" si="16"/>
        <v>1.4695797037070832</v>
      </c>
    </row>
    <row r="43" spans="4:13" x14ac:dyDescent="0.45">
      <c r="D43">
        <v>11</v>
      </c>
      <c r="E43">
        <f t="shared" si="13"/>
        <v>1.7500000000000002</v>
      </c>
      <c r="F43">
        <f t="shared" si="11"/>
        <v>0.74106180068906402</v>
      </c>
      <c r="G43">
        <f t="shared" si="14"/>
        <v>1.2968581512058621</v>
      </c>
      <c r="J43">
        <v>11</v>
      </c>
      <c r="K43">
        <f t="shared" si="15"/>
        <v>1.7500000000000002</v>
      </c>
      <c r="L43">
        <f t="shared" si="12"/>
        <v>0.8252216366363484</v>
      </c>
      <c r="M43">
        <f t="shared" si="16"/>
        <v>1.4441378641136098</v>
      </c>
    </row>
    <row r="44" spans="4:13" x14ac:dyDescent="0.45">
      <c r="D44">
        <v>12</v>
      </c>
      <c r="E44">
        <f t="shared" si="13"/>
        <v>1.7500000000000002</v>
      </c>
      <c r="F44">
        <f t="shared" si="11"/>
        <v>0.72114568906924292</v>
      </c>
      <c r="G44">
        <f t="shared" si="14"/>
        <v>1.2620049558711752</v>
      </c>
      <c r="J44">
        <v>12</v>
      </c>
      <c r="K44">
        <f t="shared" si="15"/>
        <v>1.7500000000000002</v>
      </c>
      <c r="L44">
        <f t="shared" si="12"/>
        <v>0.81093513250499405</v>
      </c>
      <c r="M44">
        <f t="shared" si="16"/>
        <v>1.4191364818837398</v>
      </c>
    </row>
    <row r="45" spans="4:13" x14ac:dyDescent="0.45">
      <c r="D45">
        <v>13</v>
      </c>
      <c r="E45">
        <f t="shared" si="13"/>
        <v>1.7500000000000002</v>
      </c>
      <c r="F45">
        <f t="shared" si="11"/>
        <v>0.70176482498435677</v>
      </c>
      <c r="G45">
        <f t="shared" si="14"/>
        <v>1.2280884437226245</v>
      </c>
      <c r="J45">
        <v>13</v>
      </c>
      <c r="K45">
        <f t="shared" si="15"/>
        <v>1.7500000000000002</v>
      </c>
      <c r="L45">
        <f t="shared" si="12"/>
        <v>0.79689596095828619</v>
      </c>
      <c r="M45">
        <f t="shared" si="16"/>
        <v>1.394567931677001</v>
      </c>
    </row>
    <row r="46" spans="4:13" x14ac:dyDescent="0.45">
      <c r="D46">
        <v>14</v>
      </c>
      <c r="E46">
        <f t="shared" si="13"/>
        <v>1.7500000000000002</v>
      </c>
      <c r="F46">
        <f t="shared" si="11"/>
        <v>0.68290482360220905</v>
      </c>
      <c r="G46">
        <f t="shared" si="14"/>
        <v>1.195083441303866</v>
      </c>
      <c r="J46">
        <v>14</v>
      </c>
      <c r="K46">
        <f t="shared" si="15"/>
        <v>1.7500000000000002</v>
      </c>
      <c r="L46">
        <f t="shared" si="12"/>
        <v>0.78309984009444711</v>
      </c>
      <c r="M46">
        <f t="shared" si="16"/>
        <v>1.3704247201652826</v>
      </c>
    </row>
    <row r="47" spans="4:13" x14ac:dyDescent="0.45">
      <c r="D47">
        <v>15</v>
      </c>
      <c r="E47">
        <f t="shared" si="13"/>
        <v>1.7500000000000002</v>
      </c>
      <c r="F47">
        <f t="shared" si="11"/>
        <v>0.66455168668443876</v>
      </c>
      <c r="G47">
        <f t="shared" si="14"/>
        <v>1.1629654516977679</v>
      </c>
      <c r="J47">
        <v>15</v>
      </c>
      <c r="K47">
        <f t="shared" si="15"/>
        <v>1.7500000000000002</v>
      </c>
      <c r="L47">
        <f t="shared" si="12"/>
        <v>0.76954256214136996</v>
      </c>
      <c r="M47">
        <f t="shared" si="16"/>
        <v>1.3466994837473976</v>
      </c>
    </row>
    <row r="48" spans="4:13" x14ac:dyDescent="0.45">
      <c r="D48">
        <v>16</v>
      </c>
      <c r="E48">
        <f>$G$2</f>
        <v>1.7500000000000002</v>
      </c>
      <c r="F48">
        <f t="shared" si="11"/>
        <v>0.64669179219677131</v>
      </c>
      <c r="G48">
        <f t="shared" si="14"/>
        <v>1.1317106363443499</v>
      </c>
      <c r="J48">
        <v>16</v>
      </c>
      <c r="K48">
        <f t="shared" si="15"/>
        <v>1.7500000000000002</v>
      </c>
      <c r="L48">
        <f t="shared" si="12"/>
        <v>0.75621999217326052</v>
      </c>
      <c r="M48">
        <f t="shared" si="16"/>
        <v>1.3233849863032061</v>
      </c>
    </row>
    <row r="49" spans="4:13" x14ac:dyDescent="0.45">
      <c r="D49">
        <v>17</v>
      </c>
      <c r="E49">
        <f t="shared" ref="E49:E51" si="17">$G$2</f>
        <v>1.7500000000000002</v>
      </c>
      <c r="F49">
        <f t="shared" si="11"/>
        <v>0.62931188419849504</v>
      </c>
      <c r="G49">
        <f t="shared" ref="G49:G52" si="18">E49*F49</f>
        <v>1.1012957973473665</v>
      </c>
      <c r="J49">
        <v>17</v>
      </c>
      <c r="K49">
        <f t="shared" si="15"/>
        <v>1.7500000000000002</v>
      </c>
      <c r="L49">
        <f t="shared" si="12"/>
        <v>0.74312806684949828</v>
      </c>
      <c r="M49">
        <f t="shared" ref="M49:M51" si="19">K49*L49</f>
        <v>1.3004741169866221</v>
      </c>
    </row>
    <row r="50" spans="4:13" x14ac:dyDescent="0.45">
      <c r="D50">
        <v>18</v>
      </c>
      <c r="E50">
        <f t="shared" si="17"/>
        <v>1.7500000000000002</v>
      </c>
      <c r="F50">
        <f t="shared" si="11"/>
        <v>0.61239906300365921</v>
      </c>
      <c r="G50">
        <f t="shared" si="18"/>
        <v>1.0716983602564036</v>
      </c>
      <c r="J50">
        <v>18</v>
      </c>
      <c r="K50">
        <f t="shared" si="15"/>
        <v>1.7500000000000002</v>
      </c>
      <c r="L50">
        <f t="shared" si="12"/>
        <v>0.73026279317533116</v>
      </c>
      <c r="M50">
        <f t="shared" si="19"/>
        <v>1.2779598880568297</v>
      </c>
    </row>
    <row r="51" spans="4:13" x14ac:dyDescent="0.45">
      <c r="D51">
        <v>19</v>
      </c>
      <c r="E51">
        <f t="shared" si="17"/>
        <v>1.7500000000000002</v>
      </c>
      <c r="F51">
        <f t="shared" si="11"/>
        <v>0.59594077560669201</v>
      </c>
      <c r="G51">
        <f t="shared" si="18"/>
        <v>1.0428963573117112</v>
      </c>
      <c r="J51">
        <v>19</v>
      </c>
      <c r="K51">
        <f t="shared" si="15"/>
        <v>1.7500000000000002</v>
      </c>
      <c r="L51">
        <f t="shared" si="12"/>
        <v>0.71762024728402518</v>
      </c>
      <c r="M51">
        <f t="shared" si="19"/>
        <v>1.2558354327470442</v>
      </c>
    </row>
    <row r="52" spans="4:13" x14ac:dyDescent="0.45">
      <c r="D52">
        <v>20</v>
      </c>
      <c r="E52">
        <f>$G$2+$F$2</f>
        <v>101.75</v>
      </c>
      <c r="F52">
        <f t="shared" si="11"/>
        <v>0.57992480636532839</v>
      </c>
      <c r="G52">
        <f t="shared" si="18"/>
        <v>59.007349047672164</v>
      </c>
      <c r="J52">
        <v>20</v>
      </c>
      <c r="K52">
        <f>$G$2+$F$2</f>
        <v>101.75</v>
      </c>
      <c r="L52">
        <f t="shared" si="12"/>
        <v>0.70519657324009732</v>
      </c>
      <c r="M52">
        <f>K52*L52</f>
        <v>71.753751327179899</v>
      </c>
    </row>
    <row r="53" spans="4:13" x14ac:dyDescent="0.45">
      <c r="D53" s="23" t="s">
        <v>54</v>
      </c>
      <c r="E53" s="23">
        <f>SUM(E33:E52)</f>
        <v>135</v>
      </c>
      <c r="F53" s="23">
        <f t="shared" ref="F53:G53" si="20">SUM(F33:F52)</f>
        <v>15.210570253737799</v>
      </c>
      <c r="G53" s="23">
        <f t="shared" si="20"/>
        <v>84.610978580573985</v>
      </c>
      <c r="J53" s="23" t="s">
        <v>54</v>
      </c>
      <c r="K53" s="23">
        <f>SUM(K33:K52)</f>
        <v>135</v>
      </c>
      <c r="L53" s="23">
        <f>SUM(L33:L52)</f>
        <v>16.733726721696371</v>
      </c>
      <c r="M53" s="23">
        <f>SUM(M33:M52)</f>
        <v>99.803679086978377</v>
      </c>
    </row>
  </sheetData>
  <pageMargins left="0.7" right="0.7" top="0.75" bottom="0.75" header="0.3" footer="0.3"/>
  <pageSetup orientation="portrait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D880-AFFD-4218-AEE5-2845196F1470}">
  <dimension ref="A1:P56"/>
  <sheetViews>
    <sheetView topLeftCell="A32" zoomScale="55" workbookViewId="0">
      <selection activeCell="F5" sqref="F5"/>
    </sheetView>
  </sheetViews>
  <sheetFormatPr defaultRowHeight="14.25" x14ac:dyDescent="0.45"/>
  <cols>
    <col min="1" max="1" width="32.33203125" bestFit="1" customWidth="1"/>
    <col min="2" max="2" width="15.265625" bestFit="1" customWidth="1"/>
    <col min="3" max="3" width="37.53125" bestFit="1" customWidth="1"/>
    <col min="4" max="4" width="22.1328125" customWidth="1"/>
    <col min="5" max="5" width="16.73046875" bestFit="1" customWidth="1"/>
    <col min="6" max="6" width="10.1328125" bestFit="1" customWidth="1"/>
    <col min="7" max="7" width="14.53125" customWidth="1"/>
    <col min="8" max="8" width="19.73046875" customWidth="1"/>
    <col min="9" max="9" width="22.3984375" bestFit="1" customWidth="1"/>
    <col min="10" max="10" width="14.73046875" bestFit="1" customWidth="1"/>
    <col min="11" max="11" width="14" bestFit="1" customWidth="1"/>
    <col min="12" max="12" width="17.86328125" bestFit="1" customWidth="1"/>
    <col min="13" max="13" width="23.33203125" bestFit="1" customWidth="1"/>
    <col min="14" max="14" width="15.73046875" bestFit="1" customWidth="1"/>
    <col min="15" max="15" width="13.33203125" customWidth="1"/>
    <col min="16" max="16" width="13.73046875" bestFit="1" customWidth="1"/>
  </cols>
  <sheetData>
    <row r="1" spans="1:16" ht="15.75" x14ac:dyDescent="0.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86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87</v>
      </c>
      <c r="P1" s="32" t="s">
        <v>88</v>
      </c>
    </row>
    <row r="2" spans="1:16" ht="15.75" x14ac:dyDescent="0.5">
      <c r="A2" s="33" t="s">
        <v>89</v>
      </c>
      <c r="B2" s="97" t="s">
        <v>90</v>
      </c>
      <c r="C2" s="33" t="s">
        <v>91</v>
      </c>
      <c r="D2" s="37">
        <v>45767</v>
      </c>
      <c r="E2" s="33">
        <v>9.5</v>
      </c>
      <c r="F2" s="33">
        <v>100</v>
      </c>
      <c r="G2" s="33">
        <f>(100*6.2%)/2</f>
        <v>3.1</v>
      </c>
      <c r="H2" s="33">
        <f>E2*2</f>
        <v>19</v>
      </c>
      <c r="I2" s="35">
        <f>RATE($H$2,$G$2,-$J$2,$F$2,0)</f>
        <v>2.531583534655486E-2</v>
      </c>
      <c r="J2" s="33">
        <v>108.49</v>
      </c>
      <c r="K2" s="33">
        <v>123</v>
      </c>
      <c r="L2" s="33" t="s">
        <v>92</v>
      </c>
      <c r="M2" s="99">
        <v>45641</v>
      </c>
      <c r="N2" s="33" t="s">
        <v>17</v>
      </c>
      <c r="O2" s="98" t="s">
        <v>184</v>
      </c>
      <c r="P2" s="37">
        <v>49293</v>
      </c>
    </row>
    <row r="4" spans="1:16" ht="15.75" x14ac:dyDescent="0.5">
      <c r="A4" s="36" t="s">
        <v>93</v>
      </c>
      <c r="B4" s="36" t="s">
        <v>10</v>
      </c>
      <c r="C4" s="36" t="s">
        <v>94</v>
      </c>
      <c r="D4" s="36" t="s">
        <v>95</v>
      </c>
      <c r="E4" s="36" t="s">
        <v>96</v>
      </c>
      <c r="F4" s="36" t="s">
        <v>97</v>
      </c>
      <c r="G4" s="36" t="s">
        <v>98</v>
      </c>
      <c r="H4" s="43"/>
      <c r="I4" s="43"/>
      <c r="J4" s="43"/>
      <c r="K4" s="43"/>
    </row>
    <row r="5" spans="1:16" ht="15.75" x14ac:dyDescent="0.5">
      <c r="A5" s="33" t="s">
        <v>89</v>
      </c>
      <c r="B5" s="33">
        <f>_xlfn.DAYS(D2,M2)</f>
        <v>126</v>
      </c>
      <c r="C5" s="33">
        <v>180</v>
      </c>
      <c r="D5" s="33">
        <f>B5/C5</f>
        <v>0.7</v>
      </c>
      <c r="E5" s="33">
        <f>D5*G2</f>
        <v>2.17</v>
      </c>
      <c r="F5" s="33">
        <f>J2</f>
        <v>108.49</v>
      </c>
      <c r="G5" s="33">
        <f>F5+E5</f>
        <v>110.66</v>
      </c>
      <c r="H5" s="44"/>
      <c r="I5" s="44"/>
      <c r="J5" s="44"/>
      <c r="K5" s="44"/>
    </row>
    <row r="6" spans="1:16" ht="14.65" thickBot="1" x14ac:dyDescent="0.5"/>
    <row r="7" spans="1:16" x14ac:dyDescent="0.45">
      <c r="A7" s="38" t="s">
        <v>0</v>
      </c>
      <c r="B7" s="39" t="s">
        <v>1</v>
      </c>
      <c r="C7" s="39" t="s">
        <v>2</v>
      </c>
      <c r="D7" s="39" t="s">
        <v>18</v>
      </c>
      <c r="E7" s="39" t="s">
        <v>19</v>
      </c>
      <c r="F7" s="39" t="s">
        <v>20</v>
      </c>
      <c r="G7" s="39" t="s">
        <v>21</v>
      </c>
      <c r="H7" s="39" t="s">
        <v>22</v>
      </c>
      <c r="I7" s="39" t="s">
        <v>26</v>
      </c>
      <c r="J7" s="39" t="s">
        <v>27</v>
      </c>
      <c r="K7" s="40" t="s">
        <v>28</v>
      </c>
    </row>
    <row r="8" spans="1:16" ht="15.75" x14ac:dyDescent="0.5">
      <c r="A8" s="33" t="s">
        <v>89</v>
      </c>
      <c r="B8" s="34" t="s">
        <v>90</v>
      </c>
      <c r="C8" s="33" t="s">
        <v>91</v>
      </c>
      <c r="D8" t="s">
        <v>99</v>
      </c>
      <c r="E8">
        <v>984.22</v>
      </c>
      <c r="F8">
        <v>1.75</v>
      </c>
      <c r="H8" s="1">
        <v>49293</v>
      </c>
      <c r="I8" s="20">
        <v>6.2E-2</v>
      </c>
      <c r="J8" t="s">
        <v>100</v>
      </c>
      <c r="K8" s="35">
        <f>RATE($H$2,$G$2,-$J$2,$F$2,0)*2</f>
        <v>5.0631670693109719E-2</v>
      </c>
      <c r="M8" s="27"/>
    </row>
    <row r="10" spans="1:16" x14ac:dyDescent="0.45">
      <c r="H10" s="1"/>
    </row>
    <row r="11" spans="1:16" x14ac:dyDescent="0.45">
      <c r="A11" t="s">
        <v>73</v>
      </c>
      <c r="B11" t="s">
        <v>145</v>
      </c>
    </row>
    <row r="12" spans="1:16" x14ac:dyDescent="0.45">
      <c r="A12" s="41" t="s">
        <v>38</v>
      </c>
      <c r="B12">
        <f>F5</f>
        <v>108.49</v>
      </c>
      <c r="F12" s="91" t="s">
        <v>32</v>
      </c>
      <c r="G12" s="92" t="s">
        <v>33</v>
      </c>
      <c r="H12" s="92" t="s">
        <v>34</v>
      </c>
      <c r="I12" s="92" t="s">
        <v>35</v>
      </c>
      <c r="J12" s="92" t="s">
        <v>36</v>
      </c>
      <c r="K12" s="93" t="s">
        <v>37</v>
      </c>
    </row>
    <row r="13" spans="1:16" x14ac:dyDescent="0.45">
      <c r="A13" s="41" t="s">
        <v>39</v>
      </c>
      <c r="B13">
        <f>B5</f>
        <v>126</v>
      </c>
      <c r="F13">
        <v>1</v>
      </c>
      <c r="G13">
        <f t="shared" ref="G13:G30" si="0">$G$2</f>
        <v>3.1</v>
      </c>
      <c r="H13" s="21">
        <f t="shared" ref="H13:H31" si="1">(1+$B$20)^-F13</f>
        <v>0.97530923206896725</v>
      </c>
      <c r="I13">
        <f t="shared" ref="I13:I31" si="2">G13*H13</f>
        <v>3.0234586194137987</v>
      </c>
      <c r="J13">
        <f t="shared" ref="J13:J31" si="3">F13*I13</f>
        <v>3.0234586194137987</v>
      </c>
      <c r="K13">
        <f t="shared" ref="K13:K31" si="4">F13*(F13+1)*I13</f>
        <v>6.0469172388275974</v>
      </c>
    </row>
    <row r="14" spans="1:16" x14ac:dyDescent="0.45">
      <c r="A14" t="s">
        <v>40</v>
      </c>
      <c r="B14">
        <f>C5</f>
        <v>180</v>
      </c>
      <c r="F14">
        <v>2</v>
      </c>
      <c r="G14">
        <f t="shared" si="0"/>
        <v>3.1</v>
      </c>
      <c r="H14" s="21">
        <f t="shared" si="1"/>
        <v>0.95122809815895848</v>
      </c>
      <c r="I14">
        <f t="shared" si="2"/>
        <v>2.9488071042927713</v>
      </c>
      <c r="J14">
        <f t="shared" si="3"/>
        <v>5.8976142085855425</v>
      </c>
      <c r="K14">
        <f t="shared" si="4"/>
        <v>17.692842625756626</v>
      </c>
    </row>
    <row r="15" spans="1:16" x14ac:dyDescent="0.45">
      <c r="A15" t="s">
        <v>41</v>
      </c>
      <c r="B15" s="20">
        <f>I8</f>
        <v>6.2E-2</v>
      </c>
      <c r="F15">
        <v>3</v>
      </c>
      <c r="G15">
        <f t="shared" si="0"/>
        <v>3.1</v>
      </c>
      <c r="H15" s="21">
        <f t="shared" si="1"/>
        <v>0.92774154593783809</v>
      </c>
      <c r="I15">
        <f t="shared" si="2"/>
        <v>2.8759987924072981</v>
      </c>
      <c r="J15">
        <f t="shared" si="3"/>
        <v>8.6279963772218942</v>
      </c>
      <c r="K15">
        <f t="shared" si="4"/>
        <v>34.511985508887577</v>
      </c>
    </row>
    <row r="16" spans="1:16" x14ac:dyDescent="0.45">
      <c r="A16" t="s">
        <v>42</v>
      </c>
      <c r="B16">
        <f>G2</f>
        <v>3.1</v>
      </c>
      <c r="F16">
        <v>4</v>
      </c>
      <c r="G16">
        <f t="shared" si="0"/>
        <v>3.1</v>
      </c>
      <c r="H16" s="21">
        <f t="shared" si="1"/>
        <v>0.90483489472710921</v>
      </c>
      <c r="I16">
        <f t="shared" si="2"/>
        <v>2.8049881736540385</v>
      </c>
      <c r="J16">
        <f t="shared" si="3"/>
        <v>11.219952694616154</v>
      </c>
      <c r="K16">
        <f t="shared" si="4"/>
        <v>56.09976347308077</v>
      </c>
    </row>
    <row r="17" spans="1:11" x14ac:dyDescent="0.45">
      <c r="A17" t="s">
        <v>43</v>
      </c>
      <c r="B17">
        <f>(B13/B14)*B16</f>
        <v>2.17</v>
      </c>
      <c r="F17">
        <v>5</v>
      </c>
      <c r="G17">
        <f t="shared" si="0"/>
        <v>3.1</v>
      </c>
      <c r="H17" s="21">
        <f t="shared" si="1"/>
        <v>0.88249382632550177</v>
      </c>
      <c r="I17">
        <f t="shared" si="2"/>
        <v>2.7357308616090554</v>
      </c>
      <c r="J17">
        <f t="shared" si="3"/>
        <v>13.678654308045278</v>
      </c>
      <c r="K17">
        <f t="shared" si="4"/>
        <v>82.071925848271661</v>
      </c>
    </row>
    <row r="18" spans="1:11" x14ac:dyDescent="0.45">
      <c r="A18" t="s">
        <v>44</v>
      </c>
      <c r="B18">
        <f>G5</f>
        <v>110.66</v>
      </c>
      <c r="C18" t="s">
        <v>74</v>
      </c>
      <c r="F18">
        <v>6</v>
      </c>
      <c r="G18">
        <f t="shared" si="0"/>
        <v>3.1</v>
      </c>
      <c r="H18" s="21">
        <f t="shared" si="1"/>
        <v>0.86070437605912953</v>
      </c>
      <c r="I18">
        <f t="shared" si="2"/>
        <v>2.6681835657833015</v>
      </c>
      <c r="J18">
        <f t="shared" si="3"/>
        <v>16.009101394699808</v>
      </c>
      <c r="K18">
        <f t="shared" si="4"/>
        <v>112.06370976289867</v>
      </c>
    </row>
    <row r="19" spans="1:11" x14ac:dyDescent="0.45">
      <c r="A19" t="s">
        <v>45</v>
      </c>
      <c r="B19" s="21">
        <f>I2*2</f>
        <v>5.0631670693109719E-2</v>
      </c>
      <c r="F19">
        <v>7</v>
      </c>
      <c r="G19">
        <f t="shared" si="0"/>
        <v>3.1</v>
      </c>
      <c r="H19" s="21">
        <f t="shared" si="1"/>
        <v>0.83945292405262928</v>
      </c>
      <c r="I19">
        <f t="shared" si="2"/>
        <v>2.602304064563151</v>
      </c>
      <c r="J19">
        <f t="shared" si="3"/>
        <v>18.216128451942058</v>
      </c>
      <c r="K19">
        <f t="shared" si="4"/>
        <v>145.72902761553647</v>
      </c>
    </row>
    <row r="20" spans="1:11" x14ac:dyDescent="0.45">
      <c r="A20" t="s">
        <v>46</v>
      </c>
      <c r="B20" s="21">
        <f>B19/2</f>
        <v>2.531583534655486E-2</v>
      </c>
      <c r="F20">
        <v>8</v>
      </c>
      <c r="G20">
        <f t="shared" si="0"/>
        <v>3.1</v>
      </c>
      <c r="H20" s="21">
        <f t="shared" si="1"/>
        <v>0.81872618671581887</v>
      </c>
      <c r="I20">
        <f t="shared" si="2"/>
        <v>2.5380511788190385</v>
      </c>
      <c r="J20">
        <f t="shared" si="3"/>
        <v>20.304409430552308</v>
      </c>
      <c r="K20">
        <f t="shared" si="4"/>
        <v>182.73968487497078</v>
      </c>
    </row>
    <row r="21" spans="1:11" x14ac:dyDescent="0.45">
      <c r="A21" t="s">
        <v>47</v>
      </c>
      <c r="B21">
        <f>J32/I32</f>
        <v>14.840000829960136</v>
      </c>
      <c r="F21">
        <v>9</v>
      </c>
      <c r="G21">
        <f t="shared" si="0"/>
        <v>3.1</v>
      </c>
      <c r="H21" s="21">
        <f t="shared" si="1"/>
        <v>0.79851120844055912</v>
      </c>
      <c r="I21">
        <f t="shared" si="2"/>
        <v>2.4753847461657332</v>
      </c>
      <c r="J21">
        <f t="shared" si="3"/>
        <v>22.2784627154916</v>
      </c>
      <c r="K21">
        <f t="shared" si="4"/>
        <v>222.784627154916</v>
      </c>
    </row>
    <row r="22" spans="1:11" x14ac:dyDescent="0.45">
      <c r="A22" t="s">
        <v>48</v>
      </c>
      <c r="B22">
        <f>B21/(1+B20)</f>
        <v>14.473589813371257</v>
      </c>
      <c r="F22">
        <v>10</v>
      </c>
      <c r="G22">
        <f t="shared" si="0"/>
        <v>3.1</v>
      </c>
      <c r="H22" s="21">
        <f t="shared" si="1"/>
        <v>0.77879535350262474</v>
      </c>
      <c r="I22">
        <f t="shared" si="2"/>
        <v>2.4142655958581369</v>
      </c>
      <c r="J22">
        <f t="shared" si="3"/>
        <v>24.142655958581368</v>
      </c>
      <c r="K22">
        <f t="shared" si="4"/>
        <v>265.56921554439504</v>
      </c>
    </row>
    <row r="23" spans="1:11" x14ac:dyDescent="0.45">
      <c r="A23" t="s">
        <v>49</v>
      </c>
      <c r="B23">
        <f>K32/(B18*(1+B20)^2)</f>
        <v>252.69842584188956</v>
      </c>
      <c r="C23" s="18" t="s">
        <v>75</v>
      </c>
      <c r="D23" s="18"/>
      <c r="F23">
        <v>11</v>
      </c>
      <c r="G23">
        <f t="shared" si="0"/>
        <v>3.1</v>
      </c>
      <c r="H23" s="21">
        <f t="shared" si="1"/>
        <v>0.75956629816352494</v>
      </c>
      <c r="I23">
        <f t="shared" si="2"/>
        <v>2.3546555243069274</v>
      </c>
      <c r="J23">
        <f t="shared" si="3"/>
        <v>25.901210767376202</v>
      </c>
      <c r="K23">
        <f t="shared" si="4"/>
        <v>310.81452920851439</v>
      </c>
    </row>
    <row r="24" spans="1:11" x14ac:dyDescent="0.45">
      <c r="A24" t="s">
        <v>50</v>
      </c>
      <c r="B24">
        <v>100</v>
      </c>
      <c r="F24">
        <v>12</v>
      </c>
      <c r="G24">
        <f t="shared" si="0"/>
        <v>3.1</v>
      </c>
      <c r="H24" s="21">
        <f t="shared" si="1"/>
        <v>0.74081202296733561</v>
      </c>
      <c r="I24">
        <f t="shared" si="2"/>
        <v>2.2965172711987405</v>
      </c>
      <c r="J24">
        <f t="shared" si="3"/>
        <v>27.558207254384886</v>
      </c>
      <c r="K24">
        <f t="shared" si="4"/>
        <v>358.2566943070035</v>
      </c>
    </row>
    <row r="25" spans="1:11" x14ac:dyDescent="0.45">
      <c r="A25" t="s">
        <v>51</v>
      </c>
      <c r="B25">
        <f>B24/10000</f>
        <v>0.01</v>
      </c>
      <c r="F25">
        <v>13</v>
      </c>
      <c r="G25">
        <f t="shared" si="0"/>
        <v>3.1</v>
      </c>
      <c r="H25" s="21">
        <f t="shared" si="1"/>
        <v>0.72252080522773021</v>
      </c>
      <c r="I25">
        <f t="shared" si="2"/>
        <v>2.2398144962059638</v>
      </c>
      <c r="J25">
        <f t="shared" si="3"/>
        <v>29.11758845067753</v>
      </c>
      <c r="K25">
        <f t="shared" si="4"/>
        <v>407.6462383094854</v>
      </c>
    </row>
    <row r="26" spans="1:11" x14ac:dyDescent="0.45">
      <c r="A26" t="s">
        <v>52</v>
      </c>
      <c r="B26" s="21">
        <f>B19+B25</f>
        <v>6.0631670693109721E-2</v>
      </c>
      <c r="F26">
        <v>14</v>
      </c>
      <c r="G26">
        <f t="shared" si="0"/>
        <v>3.1</v>
      </c>
      <c r="H26" s="21">
        <f t="shared" si="1"/>
        <v>0.70468121170050924</v>
      </c>
      <c r="I26">
        <f t="shared" si="2"/>
        <v>2.1845117562715788</v>
      </c>
      <c r="J26">
        <f t="shared" si="3"/>
        <v>30.583164587802102</v>
      </c>
      <c r="K26">
        <f t="shared" si="4"/>
        <v>458.74746881703152</v>
      </c>
    </row>
    <row r="27" spans="1:11" x14ac:dyDescent="0.45">
      <c r="A27" t="s">
        <v>53</v>
      </c>
      <c r="B27" s="21">
        <f>B19-B25</f>
        <v>4.0631670693109717E-2</v>
      </c>
      <c r="F27">
        <v>15</v>
      </c>
      <c r="G27">
        <f t="shared" si="0"/>
        <v>3.1</v>
      </c>
      <c r="H27" s="21">
        <f t="shared" si="1"/>
        <v>0.6872820914370531</v>
      </c>
      <c r="I27">
        <f t="shared" si="2"/>
        <v>2.1305744834548648</v>
      </c>
      <c r="J27">
        <f t="shared" si="3"/>
        <v>31.958617251822972</v>
      </c>
      <c r="K27">
        <f t="shared" si="4"/>
        <v>511.33787602916755</v>
      </c>
    </row>
    <row r="28" spans="1:11" x14ac:dyDescent="0.45">
      <c r="A28" t="s">
        <v>76</v>
      </c>
      <c r="B28">
        <f>B26/2</f>
        <v>3.0315835346554861E-2</v>
      </c>
      <c r="F28">
        <v>16</v>
      </c>
      <c r="G28">
        <f t="shared" si="0"/>
        <v>3.1</v>
      </c>
      <c r="H28" s="21">
        <f t="shared" si="1"/>
        <v>0.67031256881422585</v>
      </c>
      <c r="I28">
        <f t="shared" si="2"/>
        <v>2.0779689633241003</v>
      </c>
      <c r="J28">
        <f t="shared" si="3"/>
        <v>33.247503413185605</v>
      </c>
      <c r="K28">
        <f t="shared" si="4"/>
        <v>565.20755802415533</v>
      </c>
    </row>
    <row r="29" spans="1:11" x14ac:dyDescent="0.45">
      <c r="A29" t="s">
        <v>77</v>
      </c>
      <c r="B29">
        <f>B27/2</f>
        <v>2.0315835346554859E-2</v>
      </c>
      <c r="F29">
        <v>17</v>
      </c>
      <c r="G29">
        <f t="shared" si="0"/>
        <v>3.1</v>
      </c>
      <c r="H29" s="21">
        <f t="shared" si="1"/>
        <v>0.65376203673637934</v>
      </c>
      <c r="I29">
        <f t="shared" si="2"/>
        <v>2.0266623138827762</v>
      </c>
      <c r="J29">
        <f t="shared" si="3"/>
        <v>34.453259336007193</v>
      </c>
      <c r="K29">
        <f t="shared" si="4"/>
        <v>620.15866804812947</v>
      </c>
    </row>
    <row r="30" spans="1:11" x14ac:dyDescent="0.45">
      <c r="A30" t="s">
        <v>78</v>
      </c>
      <c r="B30">
        <f>I56</f>
        <v>100.97724939854007</v>
      </c>
      <c r="F30">
        <v>18</v>
      </c>
      <c r="G30">
        <f t="shared" si="0"/>
        <v>3.1</v>
      </c>
      <c r="H30" s="21">
        <f t="shared" si="1"/>
        <v>0.63762015000520211</v>
      </c>
      <c r="I30">
        <f t="shared" si="2"/>
        <v>1.9766224650161266</v>
      </c>
      <c r="J30">
        <f t="shared" si="3"/>
        <v>35.579204370290277</v>
      </c>
      <c r="K30">
        <f t="shared" si="4"/>
        <v>676.00488303551526</v>
      </c>
    </row>
    <row r="31" spans="1:11" x14ac:dyDescent="0.45">
      <c r="A31" t="s">
        <v>79</v>
      </c>
      <c r="B31">
        <f>O56</f>
        <v>116.70243486597474</v>
      </c>
      <c r="F31">
        <v>19</v>
      </c>
      <c r="G31">
        <f>$G$2+F2</f>
        <v>103.1</v>
      </c>
      <c r="H31" s="21">
        <f t="shared" si="1"/>
        <v>0.62187681885327339</v>
      </c>
      <c r="I31">
        <f t="shared" si="2"/>
        <v>64.115500023772483</v>
      </c>
      <c r="J31">
        <f t="shared" si="3"/>
        <v>1218.1945004516772</v>
      </c>
      <c r="K31">
        <f t="shared" si="4"/>
        <v>24363.890009033545</v>
      </c>
    </row>
    <row r="32" spans="1:11" x14ac:dyDescent="0.45">
      <c r="F32" s="23" t="s">
        <v>54</v>
      </c>
      <c r="G32" s="23">
        <f>SUM(G13:G31)</f>
        <v>158.9</v>
      </c>
      <c r="H32" s="94">
        <f>SUM(H13:H31)</f>
        <v>14.936231649894371</v>
      </c>
      <c r="I32" s="23">
        <f>SUM(I13:I31)</f>
        <v>108.4899999999999</v>
      </c>
      <c r="J32" s="23">
        <f>SUM(J13:J31)</f>
        <v>1609.9916900423736</v>
      </c>
      <c r="K32" s="23">
        <f>SUM(K13:K31)</f>
        <v>29397.373624460088</v>
      </c>
    </row>
    <row r="35" spans="6:15" x14ac:dyDescent="0.45">
      <c r="F35" s="22"/>
      <c r="G35" s="22"/>
      <c r="H35" s="22"/>
      <c r="I35" s="90"/>
      <c r="J35" s="22"/>
      <c r="M35" s="22"/>
      <c r="N35" s="22"/>
      <c r="O35" s="22"/>
    </row>
    <row r="36" spans="6:15" x14ac:dyDescent="0.45">
      <c r="F36" s="91" t="s">
        <v>32</v>
      </c>
      <c r="G36" s="92" t="s">
        <v>58</v>
      </c>
      <c r="H36" s="92" t="s">
        <v>59</v>
      </c>
      <c r="I36" s="92" t="s">
        <v>60</v>
      </c>
      <c r="L36" s="91" t="s">
        <v>32</v>
      </c>
      <c r="M36" s="92" t="s">
        <v>58</v>
      </c>
      <c r="N36" s="92" t="s">
        <v>59</v>
      </c>
      <c r="O36" s="92" t="s">
        <v>60</v>
      </c>
    </row>
    <row r="37" spans="6:15" x14ac:dyDescent="0.45">
      <c r="F37">
        <v>1</v>
      </c>
      <c r="G37">
        <f t="shared" ref="G37:G54" si="5">$G$2</f>
        <v>3.1</v>
      </c>
      <c r="H37">
        <f t="shared" ref="H37:H55" si="6">(1+$B$28)^-F37</f>
        <v>0.97057617256134088</v>
      </c>
      <c r="I37">
        <f t="shared" ref="I37:I55" si="7">G37*H37</f>
        <v>3.008786134940157</v>
      </c>
      <c r="L37">
        <v>1</v>
      </c>
      <c r="M37">
        <f t="shared" ref="M37:M54" si="8">$G$2</f>
        <v>3.1</v>
      </c>
      <c r="N37">
        <f t="shared" ref="N37:N55" si="9">(1+$B$29)^-L37</f>
        <v>0.98008867975703373</v>
      </c>
      <c r="O37">
        <f t="shared" ref="O37:O55" si="10">M37*N37</f>
        <v>3.0382749072468047</v>
      </c>
    </row>
    <row r="38" spans="6:15" x14ac:dyDescent="0.45">
      <c r="F38">
        <v>2</v>
      </c>
      <c r="G38">
        <f t="shared" si="5"/>
        <v>3.1</v>
      </c>
      <c r="H38">
        <f t="shared" si="6"/>
        <v>0.94201810674382191</v>
      </c>
      <c r="I38">
        <f t="shared" si="7"/>
        <v>2.9202561309058481</v>
      </c>
      <c r="L38">
        <v>2</v>
      </c>
      <c r="M38">
        <f t="shared" si="8"/>
        <v>3.1</v>
      </c>
      <c r="N38">
        <f t="shared" si="9"/>
        <v>0.9605738201878854</v>
      </c>
      <c r="O38">
        <f t="shared" si="10"/>
        <v>2.977778842582445</v>
      </c>
    </row>
    <row r="39" spans="6:15" x14ac:dyDescent="0.45">
      <c r="F39">
        <v>3</v>
      </c>
      <c r="G39">
        <f t="shared" si="5"/>
        <v>3.1</v>
      </c>
      <c r="H39">
        <f t="shared" si="6"/>
        <v>0.91430032852689935</v>
      </c>
      <c r="I39">
        <f t="shared" si="7"/>
        <v>2.8343310184333879</v>
      </c>
      <c r="L39">
        <v>3</v>
      </c>
      <c r="M39">
        <f t="shared" si="8"/>
        <v>3.1</v>
      </c>
      <c r="N39">
        <f t="shared" si="9"/>
        <v>0.941447527237115</v>
      </c>
      <c r="O39">
        <f t="shared" si="10"/>
        <v>2.9184873344350564</v>
      </c>
    </row>
    <row r="40" spans="6:15" x14ac:dyDescent="0.45">
      <c r="F40">
        <v>4</v>
      </c>
      <c r="G40">
        <f t="shared" si="5"/>
        <v>3.1</v>
      </c>
      <c r="H40">
        <f t="shared" si="6"/>
        <v>0.88739811343321462</v>
      </c>
      <c r="I40">
        <f t="shared" si="7"/>
        <v>2.7509341516429653</v>
      </c>
      <c r="L40">
        <v>4</v>
      </c>
      <c r="M40">
        <f t="shared" si="8"/>
        <v>3.1</v>
      </c>
      <c r="N40">
        <f t="shared" si="9"/>
        <v>0.92270206403034793</v>
      </c>
      <c r="O40">
        <f t="shared" si="10"/>
        <v>2.8603763984940787</v>
      </c>
    </row>
    <row r="41" spans="6:15" x14ac:dyDescent="0.45">
      <c r="F41">
        <v>5</v>
      </c>
      <c r="G41">
        <f t="shared" si="5"/>
        <v>3.1</v>
      </c>
      <c r="H41">
        <f t="shared" si="6"/>
        <v>0.86128746447416415</v>
      </c>
      <c r="I41">
        <f t="shared" si="7"/>
        <v>2.669991139869909</v>
      </c>
      <c r="L41">
        <v>5</v>
      </c>
      <c r="M41">
        <f t="shared" si="8"/>
        <v>3.1</v>
      </c>
      <c r="N41">
        <f t="shared" si="9"/>
        <v>0.90432984774459368</v>
      </c>
      <c r="O41">
        <f t="shared" si="10"/>
        <v>2.8034225280082405</v>
      </c>
    </row>
    <row r="42" spans="6:15" x14ac:dyDescent="0.45">
      <c r="F42">
        <v>6</v>
      </c>
      <c r="G42">
        <f t="shared" si="5"/>
        <v>3.1</v>
      </c>
      <c r="H42">
        <f t="shared" si="6"/>
        <v>0.83594509074439616</v>
      </c>
      <c r="I42">
        <f t="shared" si="7"/>
        <v>2.5914297813076281</v>
      </c>
      <c r="L42">
        <v>6</v>
      </c>
      <c r="M42">
        <f t="shared" si="8"/>
        <v>3.1</v>
      </c>
      <c r="N42">
        <f t="shared" si="9"/>
        <v>0.88632344654087813</v>
      </c>
      <c r="O42">
        <f t="shared" si="10"/>
        <v>2.7476026842767225</v>
      </c>
    </row>
    <row r="43" spans="6:15" x14ac:dyDescent="0.45">
      <c r="F43">
        <v>7</v>
      </c>
      <c r="G43">
        <f t="shared" si="5"/>
        <v>3.1</v>
      </c>
      <c r="H43">
        <f t="shared" si="6"/>
        <v>0.81134838664613884</v>
      </c>
      <c r="I43">
        <f t="shared" si="7"/>
        <v>2.5151799986030303</v>
      </c>
      <c r="L43">
        <v>7</v>
      </c>
      <c r="M43">
        <f t="shared" si="8"/>
        <v>3.1</v>
      </c>
      <c r="N43">
        <f t="shared" si="9"/>
        <v>0.86867557655795324</v>
      </c>
      <c r="O43">
        <f t="shared" si="10"/>
        <v>2.6928942873296551</v>
      </c>
    </row>
    <row r="44" spans="6:15" x14ac:dyDescent="0.45">
      <c r="F44">
        <v>8</v>
      </c>
      <c r="G44">
        <f t="shared" si="5"/>
        <v>3.1</v>
      </c>
      <c r="H44">
        <f t="shared" si="6"/>
        <v>0.78747541172482838</v>
      </c>
      <c r="I44">
        <f t="shared" si="7"/>
        <v>2.4411737763469681</v>
      </c>
      <c r="L44">
        <v>8</v>
      </c>
      <c r="M44">
        <f t="shared" si="8"/>
        <v>3.1</v>
      </c>
      <c r="N44">
        <f t="shared" si="9"/>
        <v>0.85137909896586439</v>
      </c>
      <c r="O44">
        <f t="shared" si="10"/>
        <v>2.6392752067941796</v>
      </c>
    </row>
    <row r="45" spans="6:15" x14ac:dyDescent="0.45">
      <c r="F45">
        <v>9</v>
      </c>
      <c r="G45">
        <f t="shared" si="5"/>
        <v>3.1</v>
      </c>
      <c r="H45">
        <f t="shared" si="6"/>
        <v>0.76430487109805001</v>
      </c>
      <c r="I45">
        <f t="shared" si="7"/>
        <v>2.369345100403955</v>
      </c>
      <c r="L45">
        <v>9</v>
      </c>
      <c r="M45">
        <f t="shared" si="8"/>
        <v>3.1</v>
      </c>
      <c r="N45">
        <f t="shared" si="9"/>
        <v>0.83442701707818701</v>
      </c>
      <c r="O45">
        <f t="shared" si="10"/>
        <v>2.5867237529423797</v>
      </c>
    </row>
    <row r="46" spans="6:15" x14ac:dyDescent="0.45">
      <c r="F46">
        <v>10</v>
      </c>
      <c r="G46">
        <f t="shared" si="5"/>
        <v>3.1</v>
      </c>
      <c r="H46">
        <f t="shared" si="6"/>
        <v>0.74181609646033442</v>
      </c>
      <c r="I46">
        <f t="shared" si="7"/>
        <v>2.2996298990270367</v>
      </c>
      <c r="L46">
        <v>10</v>
      </c>
      <c r="M46">
        <f t="shared" si="8"/>
        <v>3.1</v>
      </c>
      <c r="N46">
        <f t="shared" si="9"/>
        <v>0.81781247352176012</v>
      </c>
      <c r="O46">
        <f t="shared" si="10"/>
        <v>2.5352186679174564</v>
      </c>
    </row>
    <row r="47" spans="6:15" x14ac:dyDescent="0.45">
      <c r="F47">
        <v>11</v>
      </c>
      <c r="G47">
        <f t="shared" si="5"/>
        <v>3.1</v>
      </c>
      <c r="H47">
        <f t="shared" si="6"/>
        <v>0.71998902764686601</v>
      </c>
      <c r="I47">
        <f t="shared" si="7"/>
        <v>2.2319659857052847</v>
      </c>
      <c r="L47">
        <v>11</v>
      </c>
      <c r="M47">
        <f t="shared" si="8"/>
        <v>3.1</v>
      </c>
      <c r="N47">
        <f t="shared" si="9"/>
        <v>0.80152874746277591</v>
      </c>
      <c r="O47">
        <f t="shared" si="10"/>
        <v>2.4847391171346054</v>
      </c>
    </row>
    <row r="48" spans="6:15" x14ac:dyDescent="0.45">
      <c r="F48">
        <v>12</v>
      </c>
      <c r="G48">
        <f t="shared" si="5"/>
        <v>3.1</v>
      </c>
      <c r="H48">
        <f t="shared" si="6"/>
        <v>0.6988041947396566</v>
      </c>
      <c r="I48">
        <f t="shared" si="7"/>
        <v>2.1662930036929353</v>
      </c>
      <c r="L48">
        <v>12</v>
      </c>
      <c r="M48">
        <f t="shared" si="8"/>
        <v>3.1</v>
      </c>
      <c r="N48">
        <f t="shared" si="9"/>
        <v>0.78556925188810089</v>
      </c>
      <c r="O48">
        <f t="shared" si="10"/>
        <v>2.4352646808531127</v>
      </c>
    </row>
    <row r="49" spans="6:15" x14ac:dyDescent="0.45">
      <c r="F49">
        <v>13</v>
      </c>
      <c r="G49">
        <f t="shared" si="5"/>
        <v>3.1</v>
      </c>
      <c r="H49">
        <f t="shared" si="6"/>
        <v>0.67824270070022596</v>
      </c>
      <c r="I49">
        <f t="shared" si="7"/>
        <v>2.1025523721707007</v>
      </c>
      <c r="L49">
        <v>13</v>
      </c>
      <c r="M49">
        <f t="shared" si="8"/>
        <v>3.1</v>
      </c>
      <c r="N49">
        <f t="shared" si="9"/>
        <v>0.76992753094072952</v>
      </c>
      <c r="O49">
        <f t="shared" si="10"/>
        <v>2.3867753459162615</v>
      </c>
    </row>
    <row r="50" spans="6:15" x14ac:dyDescent="0.45">
      <c r="F50">
        <v>14</v>
      </c>
      <c r="G50">
        <f t="shared" si="5"/>
        <v>3.1</v>
      </c>
      <c r="H50">
        <f t="shared" si="6"/>
        <v>0.65828620451329234</v>
      </c>
      <c r="I50">
        <f t="shared" si="7"/>
        <v>2.0406872339912061</v>
      </c>
      <c r="L50">
        <v>14</v>
      </c>
      <c r="M50">
        <f t="shared" si="8"/>
        <v>3.1</v>
      </c>
      <c r="N50">
        <f t="shared" si="9"/>
        <v>0.75459725730829219</v>
      </c>
      <c r="O50">
        <f t="shared" si="10"/>
        <v>2.3392514976557059</v>
      </c>
    </row>
    <row r="51" spans="6:15" x14ac:dyDescent="0.45">
      <c r="F51">
        <v>15</v>
      </c>
      <c r="G51">
        <f t="shared" si="5"/>
        <v>3.1</v>
      </c>
      <c r="H51">
        <f t="shared" si="6"/>
        <v>0.63891690482644348</v>
      </c>
      <c r="I51">
        <f t="shared" si="7"/>
        <v>1.9806424049619749</v>
      </c>
      <c r="L51">
        <v>15</v>
      </c>
      <c r="M51">
        <f t="shared" si="8"/>
        <v>3.1</v>
      </c>
      <c r="N51">
        <f t="shared" si="9"/>
        <v>0.73957222966356284</v>
      </c>
      <c r="O51">
        <f t="shared" si="10"/>
        <v>2.2926739119570447</v>
      </c>
    </row>
    <row r="52" spans="6:15" x14ac:dyDescent="0.45">
      <c r="F52">
        <v>16</v>
      </c>
      <c r="G52">
        <f t="shared" si="5"/>
        <v>3.1</v>
      </c>
      <c r="H52">
        <f t="shared" si="6"/>
        <v>0.62011752407118792</v>
      </c>
      <c r="I52">
        <f t="shared" si="7"/>
        <v>1.9223643246206825</v>
      </c>
      <c r="L52">
        <v>16</v>
      </c>
      <c r="M52">
        <f t="shared" si="8"/>
        <v>3.1</v>
      </c>
      <c r="N52">
        <f t="shared" si="9"/>
        <v>0.72484637015592712</v>
      </c>
      <c r="O52">
        <f t="shared" si="10"/>
        <v>2.2470237474833743</v>
      </c>
    </row>
    <row r="53" spans="6:15" x14ac:dyDescent="0.45">
      <c r="F53">
        <v>17</v>
      </c>
      <c r="G53">
        <f t="shared" si="5"/>
        <v>3.1</v>
      </c>
      <c r="H53">
        <f t="shared" si="6"/>
        <v>0.60187129305122888</v>
      </c>
      <c r="I53">
        <f t="shared" si="7"/>
        <v>1.8658010084588097</v>
      </c>
      <c r="L53">
        <v>17</v>
      </c>
      <c r="M53">
        <f t="shared" si="8"/>
        <v>3.1</v>
      </c>
      <c r="N53">
        <f t="shared" si="9"/>
        <v>0.71041372195280084</v>
      </c>
      <c r="O53">
        <f t="shared" si="10"/>
        <v>2.2022825380536828</v>
      </c>
    </row>
    <row r="54" spans="6:15" x14ac:dyDescent="0.45">
      <c r="F54">
        <v>18</v>
      </c>
      <c r="G54">
        <f t="shared" si="5"/>
        <v>3.1</v>
      </c>
      <c r="H54">
        <f t="shared" si="6"/>
        <v>0.58416193598420685</v>
      </c>
      <c r="I54">
        <f t="shared" si="7"/>
        <v>1.8109020015510413</v>
      </c>
      <c r="L54">
        <v>18</v>
      </c>
      <c r="M54">
        <f t="shared" si="8"/>
        <v>3.1</v>
      </c>
      <c r="N54">
        <f t="shared" si="9"/>
        <v>0.696268446830001</v>
      </c>
      <c r="O54">
        <f t="shared" si="10"/>
        <v>2.1584321851730031</v>
      </c>
    </row>
    <row r="55" spans="6:15" x14ac:dyDescent="0.45">
      <c r="F55">
        <v>19</v>
      </c>
      <c r="G55">
        <f>$G$2+F2</f>
        <v>103.1</v>
      </c>
      <c r="H55">
        <f t="shared" si="6"/>
        <v>0.56697365598357463</v>
      </c>
      <c r="I55">
        <f t="shared" si="7"/>
        <v>58.45498393190654</v>
      </c>
      <c r="L55">
        <v>19</v>
      </c>
      <c r="M55">
        <f>$G$2+F2</f>
        <v>103.1</v>
      </c>
      <c r="N55">
        <f t="shared" si="9"/>
        <v>0.68240482281009618</v>
      </c>
      <c r="O55">
        <f t="shared" si="10"/>
        <v>70.355937231720915</v>
      </c>
    </row>
    <row r="56" spans="6:15" x14ac:dyDescent="0.45">
      <c r="F56" s="91" t="s">
        <v>54</v>
      </c>
      <c r="G56" s="92">
        <f>SUM(G37:G55)</f>
        <v>158.9</v>
      </c>
      <c r="H56" s="92">
        <f>SUM(H37:H55)</f>
        <v>14.283833483929872</v>
      </c>
      <c r="I56" s="92">
        <f>SUM(I37:I55)</f>
        <v>100.97724939854007</v>
      </c>
      <c r="L56" s="95" t="s">
        <v>54</v>
      </c>
      <c r="M56" s="96">
        <f>SUM(M37:M55)</f>
        <v>158.9</v>
      </c>
      <c r="N56" s="96">
        <f>SUM(N37:N55)</f>
        <v>15.632887930633903</v>
      </c>
      <c r="O56" s="96">
        <f>SUM(O37:O55)</f>
        <v>116.70243486597474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8B8E-3C3D-477D-B135-09AA42B47BCC}">
  <dimension ref="A1:Q127"/>
  <sheetViews>
    <sheetView topLeftCell="A13" zoomScale="62" zoomScaleNormal="85" workbookViewId="0">
      <selection activeCell="H16" sqref="H16"/>
    </sheetView>
  </sheetViews>
  <sheetFormatPr defaultRowHeight="14.25" x14ac:dyDescent="0.45"/>
  <cols>
    <col min="1" max="1" width="32.265625" bestFit="1" customWidth="1"/>
    <col min="2" max="2" width="14.86328125" bestFit="1" customWidth="1"/>
    <col min="3" max="3" width="37.3984375" bestFit="1" customWidth="1"/>
    <col min="4" max="4" width="14.1328125" bestFit="1" customWidth="1"/>
    <col min="5" max="5" width="7.53125" customWidth="1"/>
    <col min="6" max="6" width="21.265625" bestFit="1" customWidth="1"/>
    <col min="7" max="7" width="19.86328125" customWidth="1"/>
    <col min="8" max="8" width="17.59765625" customWidth="1"/>
    <col min="9" max="9" width="14.73046875" bestFit="1" customWidth="1"/>
    <col min="10" max="10" width="14.86328125" customWidth="1"/>
    <col min="11" max="11" width="11.73046875" customWidth="1"/>
    <col min="12" max="12" width="10.19921875" customWidth="1"/>
    <col min="13" max="13" width="21" bestFit="1" customWidth="1"/>
    <col min="14" max="14" width="13.59765625" customWidth="1"/>
    <col min="15" max="15" width="15.265625" bestFit="1" customWidth="1"/>
    <col min="16" max="16" width="11.59765625" bestFit="1" customWidth="1"/>
    <col min="17" max="17" width="10.3984375" bestFit="1" customWidth="1"/>
  </cols>
  <sheetData>
    <row r="1" spans="1:1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00" t="s">
        <v>13</v>
      </c>
      <c r="O1" s="100"/>
      <c r="P1" s="47" t="s">
        <v>68</v>
      </c>
      <c r="Q1" s="47"/>
    </row>
    <row r="2" spans="1:17" x14ac:dyDescent="0.45">
      <c r="A2" s="57" t="s">
        <v>107</v>
      </c>
      <c r="B2" s="57" t="s">
        <v>15</v>
      </c>
      <c r="C2" s="57" t="s">
        <v>16</v>
      </c>
      <c r="D2" s="48">
        <v>45767</v>
      </c>
      <c r="E2" s="67">
        <f>_xlfn.DAYS(H5,D2)/360</f>
        <v>6.9138888888888888</v>
      </c>
      <c r="F2" s="57">
        <v>100</v>
      </c>
      <c r="G2" s="57">
        <f>F2*L5/2</f>
        <v>1.625</v>
      </c>
      <c r="H2" s="67">
        <f>E2*2</f>
        <v>13.827777777777778</v>
      </c>
      <c r="I2" s="65">
        <f>N5/2</f>
        <v>1.8317222718771866E-2</v>
      </c>
      <c r="J2" s="66">
        <v>-97.49487877</v>
      </c>
      <c r="K2" s="57">
        <f>DAYS360(M2,D2,0)</f>
        <v>68</v>
      </c>
      <c r="L2" s="48">
        <v>44604</v>
      </c>
      <c r="M2" s="48">
        <v>45700</v>
      </c>
      <c r="N2" s="57" t="s">
        <v>104</v>
      </c>
      <c r="O2" s="57" t="s">
        <v>105</v>
      </c>
      <c r="P2" s="48">
        <v>45700</v>
      </c>
      <c r="Q2" s="48">
        <v>45881</v>
      </c>
    </row>
    <row r="3" spans="1:17" x14ac:dyDescent="0.45">
      <c r="A3" s="14"/>
      <c r="B3" s="14"/>
      <c r="C3" s="14"/>
      <c r="D3" s="15"/>
      <c r="E3" s="14"/>
      <c r="F3" s="14"/>
      <c r="G3" s="14"/>
      <c r="H3" s="14"/>
      <c r="I3" s="16"/>
      <c r="J3" s="14"/>
      <c r="K3" s="14"/>
      <c r="L3" s="15"/>
      <c r="M3" s="15"/>
      <c r="N3" s="14"/>
      <c r="O3" s="14"/>
      <c r="P3" s="1"/>
      <c r="Q3" s="1"/>
    </row>
    <row r="4" spans="1:17" x14ac:dyDescent="0.45">
      <c r="A4" s="58" t="s">
        <v>0</v>
      </c>
      <c r="B4" s="58" t="s">
        <v>1</v>
      </c>
      <c r="C4" s="58" t="s">
        <v>2</v>
      </c>
      <c r="D4" s="58" t="s">
        <v>18</v>
      </c>
      <c r="E4" s="58" t="s">
        <v>19</v>
      </c>
      <c r="F4" s="58" t="s">
        <v>20</v>
      </c>
      <c r="G4" s="58" t="s">
        <v>21</v>
      </c>
      <c r="H4" s="58" t="s">
        <v>22</v>
      </c>
      <c r="I4" s="58" t="s">
        <v>23</v>
      </c>
      <c r="J4" s="58" t="s">
        <v>24</v>
      </c>
      <c r="K4" s="58" t="s">
        <v>25</v>
      </c>
      <c r="L4" s="58" t="s">
        <v>26</v>
      </c>
      <c r="M4" s="58" t="s">
        <v>27</v>
      </c>
      <c r="N4" s="58" t="s">
        <v>28</v>
      </c>
      <c r="O4" s="58" t="s">
        <v>70</v>
      </c>
    </row>
    <row r="5" spans="1:17" x14ac:dyDescent="0.45">
      <c r="A5" s="57" t="s">
        <v>14</v>
      </c>
      <c r="B5" s="57" t="s">
        <v>15</v>
      </c>
      <c r="C5" s="57" t="s">
        <v>16</v>
      </c>
      <c r="D5" s="59" t="s">
        <v>31</v>
      </c>
      <c r="E5" s="60">
        <v>2500</v>
      </c>
      <c r="F5" s="60">
        <v>2500</v>
      </c>
      <c r="G5" s="48">
        <v>44512</v>
      </c>
      <c r="H5" s="48">
        <v>48256</v>
      </c>
      <c r="I5" s="57">
        <v>3.2500000000000001E-2</v>
      </c>
      <c r="J5" s="48">
        <v>48164</v>
      </c>
      <c r="K5" s="57">
        <v>100</v>
      </c>
      <c r="L5" s="61">
        <v>3.2500000000000001E-2</v>
      </c>
      <c r="M5" s="57" t="s">
        <v>30</v>
      </c>
      <c r="N5" s="56">
        <f>B16</f>
        <v>3.6634445437543732E-2</v>
      </c>
      <c r="O5" s="56">
        <f>B30</f>
        <v>3.683293749200283E-2</v>
      </c>
    </row>
    <row r="7" spans="1:17" x14ac:dyDescent="0.45">
      <c r="C7" s="1"/>
      <c r="D7" s="29"/>
    </row>
    <row r="8" spans="1:17" x14ac:dyDescent="0.45">
      <c r="A8" t="s">
        <v>73</v>
      </c>
      <c r="B8" t="s">
        <v>145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 spans="1:17" x14ac:dyDescent="0.45">
      <c r="A9" s="13" t="s">
        <v>38</v>
      </c>
      <c r="B9" s="29">
        <f>J2</f>
        <v>-97.49487877</v>
      </c>
      <c r="C9" s="19"/>
      <c r="E9">
        <v>1</v>
      </c>
      <c r="F9">
        <f>$G$2</f>
        <v>1.625</v>
      </c>
      <c r="G9">
        <f>(1+$B$17)^-E9</f>
        <v>0.98201226267207065</v>
      </c>
      <c r="H9">
        <f>F9*G9</f>
        <v>1.5957699268421148</v>
      </c>
      <c r="I9">
        <f>E9*H9</f>
        <v>1.5957699268421148</v>
      </c>
      <c r="J9">
        <f>E9*(E9+1)*H9</f>
        <v>3.1915398536842297</v>
      </c>
      <c r="M9" s="18"/>
      <c r="N9" s="18"/>
      <c r="O9" s="20"/>
    </row>
    <row r="10" spans="1:17" x14ac:dyDescent="0.45">
      <c r="A10" s="13" t="s">
        <v>39</v>
      </c>
      <c r="B10">
        <f>K2</f>
        <v>68</v>
      </c>
      <c r="E10">
        <v>2</v>
      </c>
      <c r="F10">
        <f t="shared" ref="F10:F21" si="0">$G$2</f>
        <v>1.625</v>
      </c>
      <c r="G10">
        <f t="shared" ref="G10:G22" si="1">(1+$B$17)^-E10</f>
        <v>0.96434808403831995</v>
      </c>
      <c r="H10">
        <f t="shared" ref="H10:H22" si="2">F10*G10</f>
        <v>1.5670656365622699</v>
      </c>
      <c r="I10">
        <f t="shared" ref="I10:I22" si="3">E10*H10</f>
        <v>3.1341312731245399</v>
      </c>
      <c r="J10">
        <f t="shared" ref="J10:J22" si="4">E10*(E10+1)*H10</f>
        <v>9.4023938193736196</v>
      </c>
      <c r="M10" s="18"/>
      <c r="N10" s="18"/>
      <c r="O10" s="20"/>
    </row>
    <row r="11" spans="1:17" x14ac:dyDescent="0.45">
      <c r="A11" t="s">
        <v>40</v>
      </c>
      <c r="B11">
        <f>DAYS360(P2,Q2,FALSE)</f>
        <v>180</v>
      </c>
      <c r="E11">
        <v>3</v>
      </c>
      <c r="F11">
        <f t="shared" si="0"/>
        <v>1.625</v>
      </c>
      <c r="G11">
        <f t="shared" si="1"/>
        <v>0.94700164400994669</v>
      </c>
      <c r="H11">
        <f t="shared" si="2"/>
        <v>1.5388776715161634</v>
      </c>
      <c r="I11">
        <f t="shared" si="3"/>
        <v>4.6166330145484906</v>
      </c>
      <c r="J11">
        <f t="shared" si="4"/>
        <v>18.466532058193962</v>
      </c>
      <c r="M11" s="18"/>
      <c r="N11" s="18"/>
      <c r="O11" s="20"/>
    </row>
    <row r="12" spans="1:17" x14ac:dyDescent="0.45">
      <c r="A12" t="s">
        <v>41</v>
      </c>
      <c r="B12" s="20">
        <f>L5</f>
        <v>3.2500000000000001E-2</v>
      </c>
      <c r="E12">
        <v>4</v>
      </c>
      <c r="F12">
        <f t="shared" si="0"/>
        <v>1.625</v>
      </c>
      <c r="G12">
        <f t="shared" si="1"/>
        <v>0.92996722718837854</v>
      </c>
      <c r="H12">
        <f t="shared" si="2"/>
        <v>1.5111967441811152</v>
      </c>
      <c r="I12">
        <f t="shared" si="3"/>
        <v>6.0447869767244606</v>
      </c>
      <c r="J12">
        <f t="shared" si="4"/>
        <v>30.223934883622302</v>
      </c>
      <c r="M12" s="45"/>
      <c r="N12" s="18"/>
      <c r="O12" s="20"/>
    </row>
    <row r="13" spans="1:17" x14ac:dyDescent="0.45">
      <c r="A13" t="s">
        <v>42</v>
      </c>
      <c r="B13" s="18">
        <f>G2</f>
        <v>1.625</v>
      </c>
      <c r="E13">
        <v>5</v>
      </c>
      <c r="F13">
        <f t="shared" si="0"/>
        <v>1.625</v>
      </c>
      <c r="G13">
        <f t="shared" si="1"/>
        <v>0.91323922098213117</v>
      </c>
      <c r="H13">
        <f t="shared" si="2"/>
        <v>1.4840137340959632</v>
      </c>
      <c r="I13">
        <f t="shared" si="3"/>
        <v>7.4200686704798162</v>
      </c>
      <c r="J13">
        <f t="shared" si="4"/>
        <v>44.520412022878894</v>
      </c>
      <c r="M13" s="18"/>
      <c r="N13" s="18"/>
      <c r="O13" s="20"/>
    </row>
    <row r="14" spans="1:17" x14ac:dyDescent="0.45">
      <c r="A14" t="s">
        <v>43</v>
      </c>
      <c r="B14">
        <f>(B10/B11)*B13</f>
        <v>0.61388888888888893</v>
      </c>
      <c r="C14" s="25"/>
      <c r="E14">
        <v>6</v>
      </c>
      <c r="F14">
        <f t="shared" si="0"/>
        <v>1.625</v>
      </c>
      <c r="G14">
        <f t="shared" si="1"/>
        <v>0.89681211375754177</v>
      </c>
      <c r="H14">
        <f t="shared" si="2"/>
        <v>1.4573196848560053</v>
      </c>
      <c r="I14">
        <f t="shared" si="3"/>
        <v>8.7439181091360325</v>
      </c>
      <c r="J14">
        <f t="shared" si="4"/>
        <v>61.20742676395222</v>
      </c>
      <c r="M14" s="18"/>
      <c r="N14" s="18"/>
      <c r="O14" s="20"/>
    </row>
    <row r="15" spans="1:17" x14ac:dyDescent="0.45">
      <c r="A15" t="s">
        <v>44</v>
      </c>
      <c r="B15" s="17">
        <f>B14-B9</f>
        <v>98.108767658888894</v>
      </c>
      <c r="C15" t="s">
        <v>74</v>
      </c>
      <c r="E15">
        <v>7</v>
      </c>
      <c r="F15">
        <f t="shared" si="0"/>
        <v>1.625</v>
      </c>
      <c r="G15">
        <f t="shared" si="1"/>
        <v>0.88068049302276608</v>
      </c>
      <c r="H15">
        <f t="shared" si="2"/>
        <v>1.4311058011619948</v>
      </c>
      <c r="I15">
        <f t="shared" si="3"/>
        <v>10.017740608133964</v>
      </c>
      <c r="J15">
        <f t="shared" si="4"/>
        <v>80.141924865071715</v>
      </c>
      <c r="M15" s="18"/>
      <c r="N15" s="18"/>
      <c r="O15" s="20"/>
    </row>
    <row r="16" spans="1:17" x14ac:dyDescent="0.45">
      <c r="A16" t="s">
        <v>45</v>
      </c>
      <c r="B16" s="21">
        <f>RATE(H2,G2,J2,F2)*2</f>
        <v>3.6634445437543732E-2</v>
      </c>
      <c r="E16">
        <v>8</v>
      </c>
      <c r="F16">
        <f t="shared" si="0"/>
        <v>1.625</v>
      </c>
      <c r="G16">
        <f t="shared" si="1"/>
        <v>0.86483904364444131</v>
      </c>
      <c r="H16">
        <f t="shared" si="2"/>
        <v>1.4053634459222171</v>
      </c>
      <c r="I16">
        <f t="shared" si="3"/>
        <v>11.242907567377737</v>
      </c>
      <c r="J16">
        <f t="shared" si="4"/>
        <v>101.18616810639963</v>
      </c>
      <c r="M16" s="18"/>
      <c r="N16" s="18"/>
      <c r="O16" s="20"/>
    </row>
    <row r="17" spans="1:15" x14ac:dyDescent="0.45">
      <c r="A17" t="s">
        <v>46</v>
      </c>
      <c r="B17" s="28">
        <f>B16/2</f>
        <v>1.8317222718771866E-2</v>
      </c>
      <c r="E17">
        <v>9</v>
      </c>
      <c r="F17">
        <f t="shared" si="0"/>
        <v>1.625</v>
      </c>
      <c r="G17">
        <f t="shared" si="1"/>
        <v>0.8492825460964275</v>
      </c>
      <c r="H17">
        <f t="shared" si="2"/>
        <v>1.3800841374066948</v>
      </c>
      <c r="I17">
        <f t="shared" si="3"/>
        <v>12.420757236660252</v>
      </c>
      <c r="J17">
        <f t="shared" si="4"/>
        <v>124.20757236660253</v>
      </c>
      <c r="M17" s="18"/>
      <c r="N17" s="18"/>
      <c r="O17" s="20"/>
    </row>
    <row r="18" spans="1:15" x14ac:dyDescent="0.45">
      <c r="A18" t="s">
        <v>47</v>
      </c>
      <c r="B18" s="28">
        <f>I23/H23</f>
        <v>12.612199155012462</v>
      </c>
      <c r="E18">
        <v>10</v>
      </c>
      <c r="F18">
        <f t="shared" si="0"/>
        <v>1.625</v>
      </c>
      <c r="G18">
        <f t="shared" si="1"/>
        <v>0.83400587474004995</v>
      </c>
      <c r="H18">
        <f t="shared" si="2"/>
        <v>1.3552595464525812</v>
      </c>
      <c r="I18">
        <f t="shared" si="3"/>
        <v>13.552595464525812</v>
      </c>
      <c r="J18">
        <f t="shared" si="4"/>
        <v>149.07855010978392</v>
      </c>
      <c r="M18" s="18"/>
      <c r="N18" s="18"/>
      <c r="O18" s="20"/>
    </row>
    <row r="19" spans="1:15" x14ac:dyDescent="0.45">
      <c r="A19" t="s">
        <v>48</v>
      </c>
      <c r="B19" s="28">
        <f>B18/(1+B17)</f>
        <v>12.385334229484565</v>
      </c>
      <c r="C19" s="18"/>
      <c r="E19">
        <v>11</v>
      </c>
      <c r="F19">
        <f t="shared" si="0"/>
        <v>1.625</v>
      </c>
      <c r="G19">
        <f t="shared" si="1"/>
        <v>0.81900399613527608</v>
      </c>
      <c r="H19">
        <f t="shared" si="2"/>
        <v>1.3308814937198237</v>
      </c>
      <c r="I19">
        <f t="shared" si="3"/>
        <v>14.639696430918061</v>
      </c>
      <c r="J19">
        <f t="shared" si="4"/>
        <v>175.67635717101672</v>
      </c>
      <c r="M19" s="18"/>
      <c r="N19" s="18"/>
      <c r="O19" s="20"/>
    </row>
    <row r="20" spans="1:15" x14ac:dyDescent="0.45">
      <c r="A20" t="s">
        <v>49</v>
      </c>
      <c r="B20" s="28">
        <f>J23/(B15*(1+B17)^2)</f>
        <v>174.83517329959022</v>
      </c>
      <c r="C20" s="18" t="s">
        <v>75</v>
      </c>
      <c r="E20">
        <v>12</v>
      </c>
      <c r="F20">
        <f t="shared" si="0"/>
        <v>1.625</v>
      </c>
      <c r="G20">
        <f t="shared" si="1"/>
        <v>0.80427196738227014</v>
      </c>
      <c r="H20">
        <f t="shared" si="2"/>
        <v>1.3069419469961889</v>
      </c>
      <c r="I20">
        <f t="shared" si="3"/>
        <v>15.683303363954266</v>
      </c>
      <c r="J20">
        <f t="shared" si="4"/>
        <v>203.88294373140548</v>
      </c>
      <c r="M20" s="18"/>
      <c r="N20" s="18"/>
      <c r="O20" s="20"/>
    </row>
    <row r="21" spans="1:15" x14ac:dyDescent="0.45">
      <c r="A21" t="s">
        <v>50</v>
      </c>
      <c r="B21">
        <v>100</v>
      </c>
      <c r="E21">
        <v>13</v>
      </c>
      <c r="F21">
        <f t="shared" si="0"/>
        <v>1.625</v>
      </c>
      <c r="G21">
        <f t="shared" si="1"/>
        <v>0.78980493449278089</v>
      </c>
      <c r="H21">
        <f t="shared" si="2"/>
        <v>1.283433018550769</v>
      </c>
      <c r="I21">
        <f t="shared" si="3"/>
        <v>16.684629241159996</v>
      </c>
      <c r="J21">
        <f t="shared" si="4"/>
        <v>233.58480937623995</v>
      </c>
      <c r="M21" s="18"/>
      <c r="N21" s="18"/>
      <c r="O21" s="20"/>
    </row>
    <row r="22" spans="1:15" x14ac:dyDescent="0.45">
      <c r="A22" t="s">
        <v>51</v>
      </c>
      <c r="B22">
        <f>B21/10000</f>
        <v>0.01</v>
      </c>
      <c r="E22">
        <v>14</v>
      </c>
      <c r="F22">
        <f>$G$2+$F$2</f>
        <v>101.625</v>
      </c>
      <c r="G22">
        <f t="shared" si="1"/>
        <v>0.77559813079082229</v>
      </c>
      <c r="H22">
        <f t="shared" si="2"/>
        <v>78.820160041617314</v>
      </c>
      <c r="I22">
        <f t="shared" si="3"/>
        <v>1103.4822405826424</v>
      </c>
      <c r="J22">
        <f t="shared" si="4"/>
        <v>16552.233608739636</v>
      </c>
      <c r="M22" s="18"/>
      <c r="N22" s="18"/>
      <c r="O22" s="20"/>
    </row>
    <row r="23" spans="1:15" x14ac:dyDescent="0.45">
      <c r="A23" t="s">
        <v>52</v>
      </c>
      <c r="B23" s="28">
        <f>B16+B22</f>
        <v>4.6634445437543734E-2</v>
      </c>
      <c r="E23" s="24" t="s">
        <v>54</v>
      </c>
      <c r="F23" s="23">
        <f>SUM(F9:F22)</f>
        <v>122.75</v>
      </c>
      <c r="G23" s="23">
        <f>SUM(G9:G22)</f>
        <v>12.250867538953223</v>
      </c>
      <c r="H23" s="68">
        <f>SUM(H9:H22)</f>
        <v>97.467472829881217</v>
      </c>
      <c r="I23" s="23">
        <f>SUM(I9:I22)</f>
        <v>1229.2791784662279</v>
      </c>
      <c r="J23" s="23">
        <f>SUM(J9:J22)</f>
        <v>17787.004173867863</v>
      </c>
      <c r="M23" s="18"/>
      <c r="N23" s="18"/>
      <c r="O23" s="20"/>
    </row>
    <row r="24" spans="1:15" x14ac:dyDescent="0.45">
      <c r="A24" t="s">
        <v>53</v>
      </c>
      <c r="B24" s="28">
        <f>B16-B22</f>
        <v>2.663444543754373E-2</v>
      </c>
      <c r="M24" s="18"/>
      <c r="N24" s="18"/>
      <c r="O24" s="20"/>
    </row>
    <row r="25" spans="1:15" x14ac:dyDescent="0.45">
      <c r="A25" t="s">
        <v>76</v>
      </c>
      <c r="B25" s="28">
        <f>B23/2</f>
        <v>2.3317222718771867E-2</v>
      </c>
      <c r="C25" s="30"/>
      <c r="M25" s="18"/>
      <c r="N25" s="18"/>
      <c r="O25" s="20"/>
    </row>
    <row r="26" spans="1:15" x14ac:dyDescent="0.45">
      <c r="A26" t="s">
        <v>77</v>
      </c>
      <c r="B26" s="28">
        <f>B24/2</f>
        <v>1.3317222718771865E-2</v>
      </c>
      <c r="M26" s="18"/>
      <c r="N26" s="18"/>
      <c r="O26" s="20"/>
    </row>
    <row r="27" spans="1:15" x14ac:dyDescent="0.45">
      <c r="A27" t="s">
        <v>78</v>
      </c>
      <c r="B27" s="28">
        <f>H45</f>
        <v>91.640645263259927</v>
      </c>
    </row>
    <row r="28" spans="1:15" x14ac:dyDescent="0.45">
      <c r="A28" t="s">
        <v>79</v>
      </c>
      <c r="B28" s="28">
        <f>O45</f>
        <v>103.72334969148937</v>
      </c>
      <c r="C28" s="28"/>
      <c r="E28" s="22"/>
      <c r="F28" s="22"/>
      <c r="G28" s="22"/>
      <c r="J28" s="22"/>
    </row>
    <row r="29" spans="1:15" x14ac:dyDescent="0.45">
      <c r="A29" t="s">
        <v>80</v>
      </c>
      <c r="B29" s="45">
        <f>DAYS360(D2,J5,0)/360*2</f>
        <v>13.122222222222222</v>
      </c>
      <c r="E29" s="22" t="s">
        <v>55</v>
      </c>
      <c r="F29" s="22"/>
      <c r="G29" s="22"/>
      <c r="H29" s="22"/>
      <c r="L29" s="22" t="s">
        <v>56</v>
      </c>
      <c r="M29" s="22"/>
      <c r="N29" s="22"/>
      <c r="O29" s="22"/>
    </row>
    <row r="30" spans="1:15" x14ac:dyDescent="0.45">
      <c r="A30" t="s">
        <v>81</v>
      </c>
      <c r="B30" s="21">
        <f>RATE(B29,G2,J2,K5)*2</f>
        <v>3.683293749200283E-2</v>
      </c>
      <c r="E30" t="s">
        <v>32</v>
      </c>
      <c r="F30" t="s">
        <v>58</v>
      </c>
      <c r="G30" t="s">
        <v>59</v>
      </c>
      <c r="H30" t="s">
        <v>60</v>
      </c>
      <c r="L30" t="s">
        <v>32</v>
      </c>
      <c r="M30" t="s">
        <v>58</v>
      </c>
      <c r="N30" t="s">
        <v>59</v>
      </c>
      <c r="O30" t="s">
        <v>60</v>
      </c>
    </row>
    <row r="31" spans="1:15" x14ac:dyDescent="0.45">
      <c r="E31">
        <v>1</v>
      </c>
      <c r="F31">
        <f>$G$2</f>
        <v>1.625</v>
      </c>
      <c r="G31">
        <f>1/(1+$B$25)^E31</f>
        <v>0.97721408161506151</v>
      </c>
      <c r="H31">
        <f>F31*G31</f>
        <v>1.587972882624475</v>
      </c>
      <c r="L31">
        <v>1</v>
      </c>
      <c r="M31">
        <f>$G$2</f>
        <v>1.625</v>
      </c>
      <c r="N31" s="46">
        <f>1/(1+$B$26)^L31</f>
        <v>0.98685779495285664</v>
      </c>
      <c r="O31">
        <f>M31*N31</f>
        <v>1.603643916798392</v>
      </c>
    </row>
    <row r="32" spans="1:15" x14ac:dyDescent="0.45">
      <c r="E32">
        <v>2</v>
      </c>
      <c r="F32">
        <f t="shared" ref="F32:F43" si="5">$G$2</f>
        <v>1.625</v>
      </c>
      <c r="G32">
        <f t="shared" ref="G32:G44" si="6">1/(1+$B$25)^E32</f>
        <v>0.95494736130676794</v>
      </c>
      <c r="H32">
        <f t="shared" ref="H32:H44" si="7">F32*G32</f>
        <v>1.551789462123498</v>
      </c>
      <c r="L32">
        <v>2</v>
      </c>
      <c r="M32">
        <f t="shared" ref="M32:M43" si="8">$G$2</f>
        <v>1.625</v>
      </c>
      <c r="N32">
        <f t="shared" ref="N32:N44" si="9">1/(1+$B$26)^L32</f>
        <v>0.97388830745921462</v>
      </c>
      <c r="O32">
        <f t="shared" ref="O32:O44" si="10">M32*N32</f>
        <v>1.5825684996212237</v>
      </c>
    </row>
    <row r="33" spans="2:15" x14ac:dyDescent="0.45">
      <c r="E33">
        <v>3</v>
      </c>
      <c r="F33">
        <f t="shared" si="5"/>
        <v>1.625</v>
      </c>
      <c r="G33">
        <f t="shared" si="6"/>
        <v>0.93318800867011953</v>
      </c>
      <c r="H33">
        <f t="shared" si="7"/>
        <v>1.5164305140889442</v>
      </c>
      <c r="L33">
        <v>3</v>
      </c>
      <c r="M33">
        <f t="shared" si="8"/>
        <v>1.625</v>
      </c>
      <c r="N33">
        <f t="shared" si="9"/>
        <v>0.96108926762957025</v>
      </c>
      <c r="O33">
        <f t="shared" si="10"/>
        <v>1.5617700598980517</v>
      </c>
    </row>
    <row r="34" spans="2:15" x14ac:dyDescent="0.45">
      <c r="E34">
        <v>4</v>
      </c>
      <c r="F34">
        <f t="shared" si="5"/>
        <v>1.625</v>
      </c>
      <c r="G34">
        <f t="shared" si="6"/>
        <v>0.91192446286675888</v>
      </c>
      <c r="H34">
        <f t="shared" si="7"/>
        <v>1.4818772521584831</v>
      </c>
      <c r="L34">
        <v>4</v>
      </c>
      <c r="M34">
        <f t="shared" si="8"/>
        <v>1.625</v>
      </c>
      <c r="N34">
        <f t="shared" si="9"/>
        <v>0.94845843540577368</v>
      </c>
      <c r="O34">
        <f t="shared" si="10"/>
        <v>1.5412449575343823</v>
      </c>
    </row>
    <row r="35" spans="2:15" x14ac:dyDescent="0.45">
      <c r="E35">
        <v>5</v>
      </c>
      <c r="F35">
        <f t="shared" si="5"/>
        <v>1.625</v>
      </c>
      <c r="G35">
        <f t="shared" si="6"/>
        <v>0.89114542648264805</v>
      </c>
      <c r="H35">
        <f t="shared" si="7"/>
        <v>1.448111318034303</v>
      </c>
      <c r="L35">
        <v>5</v>
      </c>
      <c r="M35">
        <f t="shared" si="8"/>
        <v>1.625</v>
      </c>
      <c r="N35">
        <f t="shared" si="9"/>
        <v>0.93599360016897837</v>
      </c>
      <c r="O35">
        <f t="shared" si="10"/>
        <v>1.5209896002745897</v>
      </c>
    </row>
    <row r="36" spans="2:15" x14ac:dyDescent="0.45">
      <c r="E36">
        <v>6</v>
      </c>
      <c r="F36">
        <f t="shared" si="5"/>
        <v>1.625</v>
      </c>
      <c r="G36">
        <f t="shared" si="6"/>
        <v>0.87083985952570309</v>
      </c>
      <c r="H36">
        <f t="shared" si="7"/>
        <v>1.4151147717292676</v>
      </c>
      <c r="L36">
        <v>6</v>
      </c>
      <c r="M36">
        <f t="shared" si="8"/>
        <v>1.625</v>
      </c>
      <c r="N36">
        <f t="shared" si="9"/>
        <v>0.92369258035274382</v>
      </c>
      <c r="O36">
        <f t="shared" si="10"/>
        <v>1.5010004430732087</v>
      </c>
    </row>
    <row r="37" spans="2:15" x14ac:dyDescent="0.45">
      <c r="B37" s="1"/>
      <c r="E37">
        <v>7</v>
      </c>
      <c r="F37">
        <f t="shared" si="5"/>
        <v>1.625</v>
      </c>
      <c r="G37">
        <f t="shared" si="6"/>
        <v>0.8509969735601991</v>
      </c>
      <c r="H37">
        <f t="shared" si="7"/>
        <v>1.3828700820353235</v>
      </c>
      <c r="L37">
        <v>7</v>
      </c>
      <c r="M37">
        <f t="shared" si="8"/>
        <v>1.625</v>
      </c>
      <c r="N37">
        <f t="shared" si="9"/>
        <v>0.91155322306122311</v>
      </c>
      <c r="O37">
        <f t="shared" si="10"/>
        <v>1.4812739874744876</v>
      </c>
    </row>
    <row r="38" spans="2:15" x14ac:dyDescent="0.45">
      <c r="B38" s="1"/>
      <c r="E38">
        <v>8</v>
      </c>
      <c r="F38">
        <f t="shared" si="5"/>
        <v>1.625</v>
      </c>
      <c r="G38">
        <f t="shared" si="6"/>
        <v>0.8316062259748267</v>
      </c>
      <c r="H38">
        <f t="shared" si="7"/>
        <v>1.3513601172090934</v>
      </c>
      <c r="L38">
        <v>8</v>
      </c>
      <c r="M38">
        <f t="shared" si="8"/>
        <v>1.625</v>
      </c>
      <c r="N38">
        <f t="shared" si="9"/>
        <v>0.89957340369236838</v>
      </c>
      <c r="O38">
        <f t="shared" si="10"/>
        <v>1.4618067810000985</v>
      </c>
    </row>
    <row r="39" spans="2:15" x14ac:dyDescent="0.45">
      <c r="E39">
        <v>9</v>
      </c>
      <c r="F39">
        <f t="shared" si="5"/>
        <v>1.625</v>
      </c>
      <c r="G39">
        <f t="shared" si="6"/>
        <v>0.81265731438135758</v>
      </c>
      <c r="H39">
        <f t="shared" si="7"/>
        <v>1.3205681358697061</v>
      </c>
      <c r="L39">
        <v>9</v>
      </c>
      <c r="M39">
        <f t="shared" si="8"/>
        <v>1.625</v>
      </c>
      <c r="N39">
        <f t="shared" si="9"/>
        <v>0.88775102556608654</v>
      </c>
      <c r="O39">
        <f t="shared" si="10"/>
        <v>1.4425954165448907</v>
      </c>
    </row>
    <row r="40" spans="2:15" x14ac:dyDescent="0.45">
      <c r="E40">
        <v>10</v>
      </c>
      <c r="F40">
        <f t="shared" si="5"/>
        <v>1.625</v>
      </c>
      <c r="G40">
        <f t="shared" si="6"/>
        <v>0.7941401711409406</v>
      </c>
      <c r="H40">
        <f t="shared" si="7"/>
        <v>1.2904777781040284</v>
      </c>
      <c r="L40">
        <v>10</v>
      </c>
      <c r="M40">
        <f t="shared" si="8"/>
        <v>1.625</v>
      </c>
      <c r="N40">
        <f t="shared" si="9"/>
        <v>0.87608401955728543</v>
      </c>
      <c r="O40">
        <f t="shared" si="10"/>
        <v>1.4236365317805888</v>
      </c>
    </row>
    <row r="41" spans="2:15" x14ac:dyDescent="0.45">
      <c r="E41">
        <v>11</v>
      </c>
      <c r="F41">
        <f t="shared" si="5"/>
        <v>1.625</v>
      </c>
      <c r="G41">
        <f t="shared" si="6"/>
        <v>0.77604495801512197</v>
      </c>
      <c r="H41">
        <f t="shared" si="7"/>
        <v>1.2610730567745732</v>
      </c>
      <c r="L41">
        <v>11</v>
      </c>
      <c r="M41">
        <f t="shared" si="8"/>
        <v>1.625</v>
      </c>
      <c r="N41">
        <f t="shared" si="9"/>
        <v>0.86457034373373798</v>
      </c>
      <c r="O41">
        <f t="shared" si="10"/>
        <v>1.4049268085673243</v>
      </c>
    </row>
    <row r="42" spans="2:15" x14ac:dyDescent="0.45">
      <c r="E42">
        <v>12</v>
      </c>
      <c r="F42">
        <f t="shared" si="5"/>
        <v>1.625</v>
      </c>
      <c r="G42">
        <f t="shared" si="6"/>
        <v>0.75836206093874636</v>
      </c>
      <c r="H42">
        <f t="shared" si="7"/>
        <v>1.2323383490254629</v>
      </c>
      <c r="L42">
        <v>12</v>
      </c>
      <c r="M42">
        <f t="shared" si="8"/>
        <v>1.625</v>
      </c>
      <c r="N42">
        <f t="shared" si="9"/>
        <v>0.85320798299871015</v>
      </c>
      <c r="O42">
        <f t="shared" si="10"/>
        <v>1.3864629723729041</v>
      </c>
    </row>
    <row r="43" spans="2:15" x14ac:dyDescent="0.45">
      <c r="E43">
        <v>13</v>
      </c>
      <c r="F43">
        <f t="shared" si="5"/>
        <v>1.625</v>
      </c>
      <c r="G43">
        <f t="shared" si="6"/>
        <v>0.74108208491196226</v>
      </c>
      <c r="H43">
        <f t="shared" si="7"/>
        <v>1.2042583879819386</v>
      </c>
      <c r="L43">
        <v>13</v>
      </c>
      <c r="M43">
        <f t="shared" si="8"/>
        <v>1.625</v>
      </c>
      <c r="N43">
        <f t="shared" si="9"/>
        <v>0.84199494873828162</v>
      </c>
      <c r="O43">
        <f t="shared" si="10"/>
        <v>1.3682417916997076</v>
      </c>
    </row>
    <row r="44" spans="2:15" x14ac:dyDescent="0.45">
      <c r="E44">
        <v>14</v>
      </c>
      <c r="F44">
        <f>$G$2+$F$2</f>
        <v>101.625</v>
      </c>
      <c r="G44">
        <f t="shared" si="6"/>
        <v>0.72419584900861833</v>
      </c>
      <c r="H44">
        <f t="shared" si="7"/>
        <v>73.596403155500838</v>
      </c>
      <c r="L44">
        <v>14</v>
      </c>
      <c r="M44">
        <f>$G$2+$F$2</f>
        <v>101.625</v>
      </c>
      <c r="N44">
        <f t="shared" si="9"/>
        <v>0.83092927847330411</v>
      </c>
      <c r="O44">
        <f t="shared" si="10"/>
        <v>84.443187924849525</v>
      </c>
    </row>
    <row r="45" spans="2:15" x14ac:dyDescent="0.45">
      <c r="E45" s="23" t="s">
        <v>54</v>
      </c>
      <c r="F45" s="23">
        <f>SUM(F31:F44)</f>
        <v>122.75</v>
      </c>
      <c r="G45" s="23">
        <f>SUM(G31:G44)</f>
        <v>11.828344838398831</v>
      </c>
      <c r="H45" s="23">
        <f>SUM(H31:H44)</f>
        <v>91.640645263259927</v>
      </c>
      <c r="L45" s="23" t="s">
        <v>54</v>
      </c>
      <c r="M45" s="23">
        <f>SUM(M31:M44)</f>
        <v>122.75</v>
      </c>
      <c r="N45" s="23">
        <f>SUM(N31:N44)</f>
        <v>12.695644211790135</v>
      </c>
      <c r="O45" s="23">
        <f>SUM(O31:O44)</f>
        <v>103.72334969148937</v>
      </c>
    </row>
    <row r="66" spans="4:13" x14ac:dyDescent="0.45">
      <c r="K66" s="22"/>
      <c r="L66" s="22"/>
      <c r="M66" s="22"/>
    </row>
    <row r="73" spans="4:13" x14ac:dyDescent="0.45">
      <c r="D73" s="22"/>
    </row>
    <row r="82" spans="10:10" x14ac:dyDescent="0.45">
      <c r="J82" s="23"/>
    </row>
    <row r="127" spans="4:4" x14ac:dyDescent="0.45">
      <c r="D127" s="23"/>
    </row>
  </sheetData>
  <mergeCells count="1">
    <mergeCell ref="N1:O1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28B2-0FA2-46C7-BF2A-03352927D9AA}">
  <dimension ref="A3:N30"/>
  <sheetViews>
    <sheetView tabSelected="1" topLeftCell="A22" zoomScale="78" workbookViewId="0">
      <selection activeCell="N33" sqref="N33"/>
    </sheetView>
  </sheetViews>
  <sheetFormatPr defaultRowHeight="14.25" x14ac:dyDescent="0.45"/>
  <cols>
    <col min="1" max="1" width="41.73046875" bestFit="1" customWidth="1"/>
    <col min="2" max="2" width="15" bestFit="1" customWidth="1"/>
    <col min="3" max="3" width="34.265625" customWidth="1"/>
    <col min="4" max="4" width="10" customWidth="1"/>
    <col min="5" max="5" width="12.265625" customWidth="1"/>
    <col min="7" max="7" width="9.3984375" customWidth="1"/>
    <col min="8" max="8" width="10.3984375" customWidth="1"/>
    <col min="9" max="9" width="16" customWidth="1"/>
    <col min="10" max="10" width="15.1328125" bestFit="1" customWidth="1"/>
    <col min="12" max="12" width="10.73046875" bestFit="1" customWidth="1"/>
    <col min="14" max="14" width="22.86328125" bestFit="1" customWidth="1"/>
  </cols>
  <sheetData>
    <row r="3" spans="1:14" x14ac:dyDescent="0.45">
      <c r="A3" s="31" t="s">
        <v>108</v>
      </c>
      <c r="B3" s="71">
        <v>1000000</v>
      </c>
      <c r="C3" s="26"/>
    </row>
    <row r="4" spans="1:14" x14ac:dyDescent="0.45">
      <c r="B4" s="26"/>
      <c r="C4" s="26"/>
    </row>
    <row r="5" spans="1:14" x14ac:dyDescent="0.45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45</v>
      </c>
      <c r="G5" t="s">
        <v>114</v>
      </c>
      <c r="H5" t="s">
        <v>37</v>
      </c>
      <c r="I5" t="s">
        <v>115</v>
      </c>
      <c r="J5" t="s">
        <v>116</v>
      </c>
      <c r="K5" t="s">
        <v>117</v>
      </c>
      <c r="L5" t="s">
        <v>118</v>
      </c>
      <c r="M5" t="s">
        <v>62</v>
      </c>
      <c r="N5" t="s">
        <v>182</v>
      </c>
    </row>
    <row r="6" spans="1:14" x14ac:dyDescent="0.45">
      <c r="A6" t="s">
        <v>119</v>
      </c>
      <c r="B6" s="27">
        <v>0.33</v>
      </c>
      <c r="C6">
        <f>Table7[[#This Row],[Par value]]*Table7[[#This Row],[Allocation in  %]]</f>
        <v>330</v>
      </c>
      <c r="D6">
        <v>1000</v>
      </c>
      <c r="E6" s="20">
        <f>Amazon!L5</f>
        <v>3.5999999999999997E-2</v>
      </c>
      <c r="F6" s="20">
        <f>Amazon!N5</f>
        <v>4.6337606062495346E-2</v>
      </c>
      <c r="G6" s="29">
        <f>Amazon!E2</f>
        <v>6.9863013698630141</v>
      </c>
      <c r="H6" s="28">
        <f>Amazon!B20</f>
        <v>170.98197806354284</v>
      </c>
      <c r="I6" s="18">
        <f>Table7[[#This Row],[Coupon rate]]*Table7[[#This Row],[Number of Bonds allocated to portfolio]]*Table7[[#This Row],[Par value]]</f>
        <v>11879.999999999998</v>
      </c>
      <c r="J6">
        <f>Table7[[#This Row],[YTM]]*Table7[[#This Row],[Par value]]*Table7[[#This Row],[Number of Bonds allocated to portfolio]]</f>
        <v>15291.410000623464</v>
      </c>
      <c r="K6">
        <f>Table7[[#This Row],[Duration]]*Table7[[#This Row],[Par value]]*Table7[[#This Row],[Number of Bonds allocated to portfolio]]</f>
        <v>2305479.4520547944</v>
      </c>
      <c r="L6">
        <f>Table7[[#This Row],[Number of Bonds allocated to portfolio]]*Table7[[#This Row],[Par value]]*Table7[[#This Row],[Convexity]]</f>
        <v>56424052.76096914</v>
      </c>
      <c r="M6" s="29">
        <f>(Amazon!J2)*-1</f>
        <v>93.89</v>
      </c>
      <c r="N6">
        <f>Table7[[#This Row],[Present Value]]*Table7[[#This Row],[Number of Bonds allocated to portfolio]]</f>
        <v>30983.7</v>
      </c>
    </row>
    <row r="7" spans="1:14" x14ac:dyDescent="0.45">
      <c r="A7" t="s">
        <v>120</v>
      </c>
      <c r="B7" s="27">
        <v>0.27</v>
      </c>
      <c r="C7">
        <f>Table7[[#This Row],[Par value]]*Table7[[#This Row],[Allocation in  %]]</f>
        <v>270</v>
      </c>
      <c r="D7">
        <v>1000</v>
      </c>
      <c r="E7" s="20">
        <f>Disney!I8</f>
        <v>6.2E-2</v>
      </c>
      <c r="F7" s="20">
        <f>Disney!K8</f>
        <v>5.0631670693109719E-2</v>
      </c>
      <c r="G7">
        <f>Disney!E2</f>
        <v>9.5</v>
      </c>
      <c r="H7">
        <f>Disney!B23</f>
        <v>252.69842584188956</v>
      </c>
      <c r="I7" s="18">
        <f>Table7[[#This Row],[Coupon rate]]*Table7[[#This Row],[Number of Bonds allocated to portfolio]]*Table7[[#This Row],[Par value]]</f>
        <v>16740</v>
      </c>
      <c r="J7">
        <f>Table7[[#This Row],[YTM]]*Table7[[#This Row],[Par value]]*Table7[[#This Row],[Number of Bonds allocated to portfolio]]</f>
        <v>13670.551087139624</v>
      </c>
      <c r="K7">
        <f>Table7[[#This Row],[Duration]]*Table7[[#This Row],[Par value]]*Table7[[#This Row],[Number of Bonds allocated to portfolio]]</f>
        <v>2565000</v>
      </c>
      <c r="L7">
        <f>Table7[[#This Row],[Number of Bonds allocated to portfolio]]*Table7[[#This Row],[Par value]]*Table7[[#This Row],[Convexity]]</f>
        <v>68228574.977310181</v>
      </c>
      <c r="M7">
        <f>Disney!J2</f>
        <v>108.49</v>
      </c>
      <c r="N7">
        <f>Table7[[#This Row],[Present Value]]*Table7[[#This Row],[Number of Bonds allocated to portfolio]]</f>
        <v>29292.3</v>
      </c>
    </row>
    <row r="8" spans="1:14" x14ac:dyDescent="0.45">
      <c r="A8" t="s">
        <v>121</v>
      </c>
      <c r="B8" s="27">
        <v>0.22</v>
      </c>
      <c r="C8">
        <f>Table7[[#This Row],[Par value]]*Table7[[#This Row],[Allocation in  %]]</f>
        <v>220</v>
      </c>
      <c r="D8">
        <v>1000</v>
      </c>
      <c r="E8" s="20">
        <f>Microsoft!L5</f>
        <v>3.5000000000000003E-2</v>
      </c>
      <c r="F8" s="20">
        <f>Microsoft!N5</f>
        <v>4.5234640993350561E-2</v>
      </c>
      <c r="G8">
        <f>Microsoft!E2</f>
        <v>10</v>
      </c>
      <c r="H8">
        <f>Microsoft!B20</f>
        <v>317.38071974255354</v>
      </c>
      <c r="I8" s="18">
        <f>Table7[[#This Row],[Coupon rate]]*Table7[[#This Row],[Number of Bonds allocated to portfolio]]*Table7[[#This Row],[Par value]]</f>
        <v>7700.0000000000009</v>
      </c>
      <c r="J8">
        <f>Table7[[#This Row],[YTM]]*Table7[[#This Row],[Par value]]*Table7[[#This Row],[Number of Bonds allocated to portfolio]]</f>
        <v>9951.6210185371237</v>
      </c>
      <c r="K8">
        <f>Table7[[#This Row],[Duration]]*Table7[[#This Row],[Par value]]*Table7[[#This Row],[Number of Bonds allocated to portfolio]]</f>
        <v>2200000</v>
      </c>
      <c r="L8">
        <f>Table7[[#This Row],[Number of Bonds allocated to portfolio]]*Table7[[#This Row],[Par value]]*Table7[[#This Row],[Convexity]]</f>
        <v>69823758.34336178</v>
      </c>
      <c r="M8">
        <f>(Microsoft!J2)*-1</f>
        <v>91.84</v>
      </c>
      <c r="N8">
        <f>Table7[[#This Row],[Present Value]]*Table7[[#This Row],[Number of Bonds allocated to portfolio]]</f>
        <v>20204.8</v>
      </c>
    </row>
    <row r="9" spans="1:14" x14ac:dyDescent="0.45">
      <c r="A9" t="s">
        <v>144</v>
      </c>
      <c r="B9" s="27">
        <v>0.18</v>
      </c>
      <c r="C9">
        <f>Table7[[#This Row],[Par value]]*Table7[[#This Row],[Allocation in  %]]</f>
        <v>180</v>
      </c>
      <c r="D9">
        <v>1000</v>
      </c>
      <c r="E9" s="20">
        <f>Ford!L5</f>
        <v>3.2500000000000001E-2</v>
      </c>
      <c r="F9" s="20">
        <f>Ford!N5</f>
        <v>3.6634445437543732E-2</v>
      </c>
      <c r="G9" s="45">
        <f>Ford!E2</f>
        <v>6.9138888888888888</v>
      </c>
      <c r="H9">
        <f>Ford!B20</f>
        <v>174.83517329959022</v>
      </c>
      <c r="I9" s="18">
        <f>Table7[[#This Row],[Coupon rate]]*Table7[[#This Row],[Number of Bonds allocated to portfolio]]*Table7[[#This Row],[Par value]]</f>
        <v>5850.0000000000009</v>
      </c>
      <c r="J9">
        <f>Table7[[#This Row],[YTM]]*Table7[[#This Row],[Par value]]*Table7[[#This Row],[Number of Bonds allocated to portfolio]]</f>
        <v>6594.200178757872</v>
      </c>
      <c r="K9">
        <f>Table7[[#This Row],[Duration]]*Table7[[#This Row],[Par value]]*Table7[[#This Row],[Number of Bonds allocated to portfolio]]</f>
        <v>1244500</v>
      </c>
      <c r="L9">
        <f>Table7[[#This Row],[Number of Bonds allocated to portfolio]]*Table7[[#This Row],[Par value]]*Table7[[#This Row],[Convexity]]</f>
        <v>31470331.193926241</v>
      </c>
      <c r="M9" s="29">
        <f>(Ford!J2)*-1</f>
        <v>97.49487877</v>
      </c>
      <c r="N9" s="29">
        <f>Table7[[#This Row],[Present Value]]*Table7[[#This Row],[Number of Bonds allocated to portfolio]]</f>
        <v>17549.078178600001</v>
      </c>
    </row>
    <row r="10" spans="1:14" x14ac:dyDescent="0.45">
      <c r="A10" s="23" t="s">
        <v>54</v>
      </c>
      <c r="B10" s="49">
        <f t="shared" ref="B10:L10" si="0">SUM(B6:B9)</f>
        <v>1</v>
      </c>
      <c r="C10" s="50">
        <f t="shared" si="0"/>
        <v>1000</v>
      </c>
      <c r="D10" s="23">
        <f t="shared" si="0"/>
        <v>4000</v>
      </c>
      <c r="E10" s="49">
        <f t="shared" si="0"/>
        <v>0.16550000000000001</v>
      </c>
      <c r="F10" s="49">
        <f t="shared" si="0"/>
        <v>0.17883836318649937</v>
      </c>
      <c r="G10" s="23">
        <f t="shared" si="0"/>
        <v>33.400190258751906</v>
      </c>
      <c r="H10" s="51">
        <f t="shared" si="0"/>
        <v>915.89629694757616</v>
      </c>
      <c r="I10" s="24">
        <f t="shared" si="0"/>
        <v>42170</v>
      </c>
      <c r="J10" s="23">
        <f t="shared" si="0"/>
        <v>45507.782285058078</v>
      </c>
      <c r="K10" s="23">
        <f t="shared" si="0"/>
        <v>8314979.4520547949</v>
      </c>
      <c r="L10" s="23">
        <f t="shared" si="0"/>
        <v>225946717.27556732</v>
      </c>
      <c r="M10" s="68">
        <f>SUM(M6:M9)</f>
        <v>391.71487877000004</v>
      </c>
      <c r="N10" s="89">
        <f>SUM(N6:N9)</f>
        <v>98029.878178600004</v>
      </c>
    </row>
    <row r="11" spans="1:14" x14ac:dyDescent="0.45">
      <c r="B11" s="27"/>
      <c r="C11" s="27"/>
    </row>
    <row r="12" spans="1:14" x14ac:dyDescent="0.45">
      <c r="B12" s="27"/>
      <c r="C12" s="27"/>
    </row>
    <row r="13" spans="1:14" x14ac:dyDescent="0.45">
      <c r="B13" s="27"/>
      <c r="C13" s="27"/>
    </row>
    <row r="14" spans="1:14" x14ac:dyDescent="0.45">
      <c r="A14" t="s">
        <v>179</v>
      </c>
      <c r="B14" s="27" t="s">
        <v>180</v>
      </c>
      <c r="C14" s="27" t="s">
        <v>181</v>
      </c>
    </row>
    <row r="15" spans="1:14" ht="28.5" x14ac:dyDescent="0.45">
      <c r="A15" s="72" t="s">
        <v>122</v>
      </c>
      <c r="B15" s="73">
        <f>I10/B3</f>
        <v>4.2169999999999999E-2</v>
      </c>
      <c r="C15" s="70" t="s">
        <v>123</v>
      </c>
    </row>
    <row r="16" spans="1:14" x14ac:dyDescent="0.45">
      <c r="A16" s="72" t="s">
        <v>124</v>
      </c>
      <c r="B16" s="73">
        <f>J10/B3</f>
        <v>4.5507782285058078E-2</v>
      </c>
      <c r="C16" s="78" t="s">
        <v>125</v>
      </c>
    </row>
    <row r="17" spans="1:3" x14ac:dyDescent="0.45">
      <c r="A17" s="72" t="s">
        <v>126</v>
      </c>
      <c r="B17" s="74">
        <f>K10/B3</f>
        <v>8.3149794520547946</v>
      </c>
      <c r="C17" s="78" t="s">
        <v>127</v>
      </c>
    </row>
    <row r="18" spans="1:3" x14ac:dyDescent="0.45">
      <c r="A18" s="72" t="s">
        <v>128</v>
      </c>
      <c r="B18" s="74">
        <f>L10/B3</f>
        <v>225.94671727556732</v>
      </c>
      <c r="C18" s="78" t="s">
        <v>129</v>
      </c>
    </row>
    <row r="19" spans="1:3" ht="28.5" x14ac:dyDescent="0.45">
      <c r="A19" s="72" t="s">
        <v>130</v>
      </c>
      <c r="B19" s="73">
        <f>B22+B21</f>
        <v>-7.1852458656769591E-2</v>
      </c>
      <c r="C19" s="78" t="s">
        <v>131</v>
      </c>
    </row>
    <row r="20" spans="1:3" ht="28.5" x14ac:dyDescent="0.45">
      <c r="A20" s="72" t="s">
        <v>132</v>
      </c>
      <c r="B20" s="73">
        <f>B23+B24</f>
        <v>9.4447130384326311E-2</v>
      </c>
      <c r="C20" s="78" t="s">
        <v>133</v>
      </c>
    </row>
    <row r="21" spans="1:3" ht="28.5" x14ac:dyDescent="0.45">
      <c r="A21" s="75" t="s">
        <v>134</v>
      </c>
      <c r="B21" s="76">
        <f>-B17*B25</f>
        <v>-8.3149794520547951E-2</v>
      </c>
      <c r="C21" s="78" t="s">
        <v>149</v>
      </c>
    </row>
    <row r="22" spans="1:3" ht="28.5" x14ac:dyDescent="0.45">
      <c r="A22" s="72" t="s">
        <v>135</v>
      </c>
      <c r="B22" s="77">
        <f>($B$18*(B25)^2)/2</f>
        <v>1.1297335863778367E-2</v>
      </c>
      <c r="C22" s="78" t="s">
        <v>150</v>
      </c>
    </row>
    <row r="23" spans="1:3" ht="28.5" x14ac:dyDescent="0.45">
      <c r="A23" s="75" t="s">
        <v>136</v>
      </c>
      <c r="B23" s="76">
        <f>-B17*-B25</f>
        <v>8.3149794520547951E-2</v>
      </c>
      <c r="C23" s="78" t="s">
        <v>151</v>
      </c>
    </row>
    <row r="24" spans="1:3" ht="28.5" x14ac:dyDescent="0.45">
      <c r="A24" s="72" t="s">
        <v>137</v>
      </c>
      <c r="B24" s="77">
        <f>($B$18*(-B25)^2)/2</f>
        <v>1.1297335863778367E-2</v>
      </c>
      <c r="C24" s="78" t="s">
        <v>152</v>
      </c>
    </row>
    <row r="25" spans="1:3" ht="28.5" x14ac:dyDescent="0.45">
      <c r="A25" s="72" t="s">
        <v>138</v>
      </c>
      <c r="B25" s="74">
        <v>0.01</v>
      </c>
      <c r="C25" s="78" t="s">
        <v>153</v>
      </c>
    </row>
    <row r="26" spans="1:3" ht="28.5" x14ac:dyDescent="0.45">
      <c r="A26" s="72" t="s">
        <v>139</v>
      </c>
      <c r="B26" s="73">
        <f>B16+B25</f>
        <v>5.550778228505808E-2</v>
      </c>
      <c r="C26" s="78" t="s">
        <v>154</v>
      </c>
    </row>
    <row r="27" spans="1:3" ht="28.5" x14ac:dyDescent="0.45">
      <c r="A27" s="72" t="s">
        <v>140</v>
      </c>
      <c r="B27" s="73">
        <f>B16-B25</f>
        <v>3.5507782285058076E-2</v>
      </c>
      <c r="C27" s="78" t="s">
        <v>155</v>
      </c>
    </row>
    <row r="28" spans="1:3" ht="42.75" x14ac:dyDescent="0.45">
      <c r="A28" s="72" t="s">
        <v>146</v>
      </c>
      <c r="B28" s="74">
        <f>SUMPRODUCT(M6:M9,C6:C9)</f>
        <v>98029.878178600004</v>
      </c>
      <c r="C28" s="78" t="s">
        <v>156</v>
      </c>
    </row>
    <row r="29" spans="1:3" ht="28.5" x14ac:dyDescent="0.45">
      <c r="A29" s="72" t="s">
        <v>147</v>
      </c>
      <c r="B29" s="74">
        <f>$B$28*(1+B19)</f>
        <v>90986.190409643983</v>
      </c>
      <c r="C29" s="78" t="s">
        <v>157</v>
      </c>
    </row>
    <row r="30" spans="1:3" ht="28.5" x14ac:dyDescent="0.45">
      <c r="A30" s="72" t="s">
        <v>148</v>
      </c>
      <c r="B30" s="74">
        <f>$B$28*(1+B20)</f>
        <v>107288.51886449388</v>
      </c>
      <c r="C30" s="78" t="s">
        <v>158</v>
      </c>
    </row>
  </sheetData>
  <pageMargins left="0.7" right="0.7" top="0.75" bottom="0.75" header="0.3" footer="0.3"/>
  <ignoredErrors>
    <ignoredError sqref="A10:L10 C6:I8 C9:D9 I9 M6:M10" calculatedColumn="1"/>
  </ignoredErrors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9301-FB1F-40A5-BD92-A3E3CA608E40}">
  <dimension ref="A1:G22"/>
  <sheetViews>
    <sheetView showGridLines="0" topLeftCell="A19" zoomScale="76" workbookViewId="0">
      <selection sqref="A1:B43"/>
    </sheetView>
  </sheetViews>
  <sheetFormatPr defaultRowHeight="14.25" x14ac:dyDescent="0.45"/>
  <cols>
    <col min="1" max="1" width="23.796875" bestFit="1" customWidth="1"/>
    <col min="2" max="2" width="44.46484375" customWidth="1"/>
    <col min="3" max="3" width="48.3984375" bestFit="1" customWidth="1"/>
  </cols>
  <sheetData>
    <row r="1" spans="1:7" ht="23.65" thickBot="1" x14ac:dyDescent="0.5">
      <c r="A1" s="80" t="s">
        <v>159</v>
      </c>
      <c r="B1" s="81"/>
      <c r="C1" s="69"/>
      <c r="D1" s="69"/>
      <c r="E1" s="69"/>
      <c r="F1" s="69"/>
      <c r="G1" s="69"/>
    </row>
    <row r="2" spans="1:7" ht="14.65" thickBot="1" x14ac:dyDescent="0.5">
      <c r="A2" s="82" t="s">
        <v>160</v>
      </c>
      <c r="B2" s="83">
        <f>'Portfolio Allocation'!B3</f>
        <v>1000000</v>
      </c>
    </row>
    <row r="3" spans="1:7" ht="14.65" thickBot="1" x14ac:dyDescent="0.5">
      <c r="A3" s="82" t="s">
        <v>161</v>
      </c>
      <c r="B3" s="84">
        <f>'Portfolio Allocation'!B15</f>
        <v>4.2169999999999999E-2</v>
      </c>
    </row>
    <row r="4" spans="1:7" ht="14.65" thickBot="1" x14ac:dyDescent="0.5">
      <c r="A4" s="82" t="s">
        <v>162</v>
      </c>
      <c r="B4" s="84">
        <f>'Portfolio Allocation'!B16</f>
        <v>4.5507782285058078E-2</v>
      </c>
    </row>
    <row r="5" spans="1:7" ht="14.65" thickBot="1" x14ac:dyDescent="0.5">
      <c r="A5" s="82" t="s">
        <v>163</v>
      </c>
      <c r="B5" s="85">
        <f>'Portfolio Allocation'!B17</f>
        <v>8.3149794520547946</v>
      </c>
    </row>
    <row r="6" spans="1:7" ht="14.65" thickBot="1" x14ac:dyDescent="0.5">
      <c r="A6" s="82" t="s">
        <v>37</v>
      </c>
      <c r="B6" s="85">
        <f>'Portfolio Allocation'!B18</f>
        <v>225.94671727556732</v>
      </c>
    </row>
    <row r="7" spans="1:7" ht="14.65" thickBot="1" x14ac:dyDescent="0.5">
      <c r="A7" s="82" t="s">
        <v>164</v>
      </c>
      <c r="B7" s="84">
        <f>'Portfolio Allocation'!B19</f>
        <v>-7.1852458656769591E-2</v>
      </c>
    </row>
    <row r="8" spans="1:7" ht="14.65" thickBot="1" x14ac:dyDescent="0.5">
      <c r="A8" s="82" t="s">
        <v>165</v>
      </c>
      <c r="B8" s="84">
        <f>'Portfolio Allocation'!B20</f>
        <v>9.4447130384326311E-2</v>
      </c>
    </row>
    <row r="10" spans="1:7" ht="23.65" thickBot="1" x14ac:dyDescent="0.5">
      <c r="A10" s="79" t="s">
        <v>166</v>
      </c>
      <c r="B10" s="79"/>
    </row>
    <row r="11" spans="1:7" ht="14.65" thickBot="1" x14ac:dyDescent="0.5">
      <c r="A11" s="82" t="s">
        <v>167</v>
      </c>
      <c r="B11" s="83" t="s">
        <v>168</v>
      </c>
    </row>
    <row r="12" spans="1:7" ht="14.65" thickBot="1" x14ac:dyDescent="0.5">
      <c r="A12" s="82" t="s">
        <v>120</v>
      </c>
      <c r="B12" s="84" t="s">
        <v>169</v>
      </c>
    </row>
    <row r="13" spans="1:7" ht="14.65" thickBot="1" x14ac:dyDescent="0.5">
      <c r="A13" s="82" t="s">
        <v>170</v>
      </c>
      <c r="B13" s="84" t="s">
        <v>171</v>
      </c>
    </row>
    <row r="14" spans="1:7" ht="14.65" thickBot="1" x14ac:dyDescent="0.5">
      <c r="A14" s="82" t="s">
        <v>144</v>
      </c>
      <c r="B14" s="85" t="s">
        <v>172</v>
      </c>
    </row>
    <row r="16" spans="1:7" ht="23.65" thickBot="1" x14ac:dyDescent="0.5">
      <c r="A16" s="79" t="s">
        <v>173</v>
      </c>
      <c r="B16" s="79"/>
    </row>
    <row r="17" spans="1:2" ht="50.65" customHeight="1" thickBot="1" x14ac:dyDescent="0.5">
      <c r="A17" s="82" t="s">
        <v>167</v>
      </c>
      <c r="B17" s="86" t="s">
        <v>175</v>
      </c>
    </row>
    <row r="18" spans="1:2" ht="63.4" customHeight="1" thickBot="1" x14ac:dyDescent="0.5">
      <c r="A18" s="82" t="s">
        <v>120</v>
      </c>
      <c r="B18" s="87" t="s">
        <v>174</v>
      </c>
    </row>
    <row r="19" spans="1:2" ht="50.65" customHeight="1" thickBot="1" x14ac:dyDescent="0.5">
      <c r="A19" s="82" t="s">
        <v>121</v>
      </c>
      <c r="B19" s="87" t="s">
        <v>176</v>
      </c>
    </row>
    <row r="20" spans="1:2" ht="57.4" thickBot="1" x14ac:dyDescent="0.5">
      <c r="A20" s="82" t="s">
        <v>144</v>
      </c>
      <c r="B20" s="88" t="s">
        <v>183</v>
      </c>
    </row>
    <row r="22" spans="1:2" ht="23.25" x14ac:dyDescent="0.45">
      <c r="A22" s="79" t="s">
        <v>177</v>
      </c>
      <c r="B22" s="7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Amazon</vt:lpstr>
      <vt:lpstr>Microsoft</vt:lpstr>
      <vt:lpstr>Disney</vt:lpstr>
      <vt:lpstr>Ford</vt:lpstr>
      <vt:lpstr>Portfolio Allocation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 Sanjay Singh</dc:creator>
  <cp:keywords/>
  <dc:description/>
  <cp:lastModifiedBy>Akshay Sanjay Singh</cp:lastModifiedBy>
  <cp:revision/>
  <dcterms:created xsi:type="dcterms:W3CDTF">2025-04-11T03:20:20Z</dcterms:created>
  <dcterms:modified xsi:type="dcterms:W3CDTF">2025-12-19T04:14:25Z</dcterms:modified>
  <cp:category/>
  <cp:contentStatus/>
</cp:coreProperties>
</file>